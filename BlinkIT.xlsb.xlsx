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Flash\Downloads\"/>
    </mc:Choice>
  </mc:AlternateContent>
  <xr:revisionPtr revIDLastSave="0" documentId="13_ncr:1_{C72B9074-E902-4D5F-927B-77475179D445}"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board" sheetId="3" r:id="rId2"/>
    <sheet name="BlinkIT Grocery Data" sheetId="1" r:id="rId3"/>
  </sheets>
  <definedNames>
    <definedName name="_xlchart.v2.0" hidden="1">'Sheets Design'!$D$74:$D$76</definedName>
    <definedName name="_xlchart.v2.1" hidden="1">'Sheets Design'!$E$74:$E$76</definedName>
    <definedName name="_xlchart.v2.2" hidden="1">'Sheets Design'!$D$74:$D$76</definedName>
    <definedName name="_xlchart.v2.3" hidden="1">'Sheets Design'!$E$74:$E$76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 i="2" l="1"/>
  <c r="E75" i="2"/>
  <c r="E74" i="2"/>
  <c r="D75" i="2"/>
  <c r="D74" i="2"/>
  <c r="D76" i="2"/>
  <c r="B9" i="2"/>
  <c r="A9" i="2"/>
  <c r="D9" i="2"/>
  <c r="C9" i="2"/>
</calcChain>
</file>

<file path=xl/sharedStrings.xml><?xml version="1.0" encoding="utf-8"?>
<sst xmlns="http://schemas.openxmlformats.org/spreadsheetml/2006/main" count="59746" uniqueCount="1628">
  <si>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</si>
  <si>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</si>
  <si>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</si>
  <si>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</si>
  <si>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</si>
  <si>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</si>
  <si>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</si>
  <si>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</si>
  <si>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</si>
  <si>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</si>
  <si>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</si>
  <si>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</si>
  <si>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</si>
  <si>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</si>
  <si>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</si>
  <si>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</si>
  <si>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</si>
  <si>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</si>
  <si>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</si>
  <si>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</si>
  <si>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</si>
  <si>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</si>
  <si>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</si>
  <si>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</si>
  <si>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</si>
  <si>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</si>
  <si>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</si>
  <si>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</si>
  <si>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</si>
  <si>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</si>
  <si>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</si>
  <si>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</si>
  <si>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</si>
  <si>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</si>
  <si>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</si>
  <si>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</si>
  <si>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</si>
  <si>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</si>
  <si>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</si>
  <si>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</si>
  <si>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</si>
  <si>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</si>
  <si>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</si>
  <si>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</si>
  <si>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</si>
  <si>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</si>
  <si>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</si>
  <si>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</si>
  <si>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</si>
  <si>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</si>
  <si>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</si>
  <si>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</si>
  <si>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</si>
  <si>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</si>
  <si>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</si>
  <si>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</si>
  <si>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</si>
  <si>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</si>
  <si>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</si>
  <si>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</si>
  <si>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</si>
  <si>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</si>
  <si>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</si>
  <si>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</si>
  <si>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</si>
  <si>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</si>
  <si>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</si>
  <si>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</si>
  <si>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</si>
  <si>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</si>
  <si>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</si>
  <si>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</si>
  <si>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</si>
  <si>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</si>
  <si>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</si>
  <si>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</si>
  <si>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</si>
  <si>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</si>
  <si>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</si>
  <si>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</si>
  <si>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</si>
  <si>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</si>
  <si>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</si>
  <si>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</si>
  <si>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</si>
  <si>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</si>
  <si>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</si>
  <si>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</si>
  <si>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</si>
  <si>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</si>
  <si>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</si>
  <si>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</si>
  <si>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</si>
  <si>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</si>
  <si>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</si>
  <si>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</si>
  <si>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</si>
  <si>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</si>
  <si>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</si>
  <si>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</si>
  <si>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</si>
  <si>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</si>
  <si>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</si>
  <si>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</si>
  <si>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</si>
  <si>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</si>
  <si>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</si>
  <si>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</si>
  <si>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</si>
  <si>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</si>
  <si>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</si>
  <si>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</si>
  <si>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</si>
  <si>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</si>
  <si>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</si>
  <si>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</si>
  <si>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</si>
  <si>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</si>
  <si>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</si>
  <si>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</si>
  <si>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</si>
  <si>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</si>
  <si>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</si>
  <si>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</si>
  <si>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</si>
  <si>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</si>
  <si>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</si>
  <si>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</si>
  <si>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</si>
  <si>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</si>
  <si>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</si>
  <si>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</si>
  <si>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</si>
  <si>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</si>
  <si>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</si>
  <si>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</si>
  <si>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</si>
  <si>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</si>
  <si>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</si>
  <si>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</si>
  <si>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</si>
  <si>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</si>
  <si>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</si>
  <si>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</si>
  <si>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</si>
  <si>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</si>
  <si>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</si>
  <si>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</si>
  <si>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</si>
  <si>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</si>
  <si>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</si>
  <si>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</si>
  <si>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</si>
  <si>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</si>
  <si>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</si>
  <si>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</si>
  <si>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</si>
  <si>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</si>
  <si>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</si>
  <si>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</si>
  <si>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</si>
  <si>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</si>
  <si>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</si>
  <si>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</si>
  <si>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</si>
  <si>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</si>
  <si>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</si>
  <si>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</si>
  <si>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</si>
  <si>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</si>
  <si>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</si>
  <si>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</si>
  <si>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</si>
  <si>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</si>
  <si>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</si>
  <si>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</si>
  <si>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</si>
  <si>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</si>
  <si>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</si>
  <si>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</si>
  <si>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</si>
  <si>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</si>
  <si>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</si>
  <si>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</si>
  <si>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</si>
  <si>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</si>
  <si>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</si>
  <si>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</si>
  <si>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</si>
  <si>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</si>
  <si>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</si>
  <si>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</si>
  <si>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</si>
  <si>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</si>
  <si>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</si>
  <si>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</si>
  <si>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</si>
  <si>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</si>
  <si>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</si>
  <si>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</si>
  <si>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</si>
  <si>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</si>
  <si>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</si>
  <si>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</si>
  <si>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</si>
  <si>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</si>
  <si>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</si>
  <si>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</si>
  <si>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</si>
  <si>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</si>
  <si>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</si>
  <si>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</si>
  <si>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</si>
  <si>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</si>
  <si>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</si>
  <si>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</si>
  <si>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</si>
  <si>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</si>
  <si>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</si>
  <si>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</si>
  <si>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</si>
  <si>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</si>
  <si>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</si>
  <si>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</si>
  <si>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</si>
  <si>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</si>
  <si>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</si>
  <si>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</si>
  <si>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</si>
  <si>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</si>
  <si>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</si>
  <si>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</si>
  <si>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</si>
  <si>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</si>
  <si>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</si>
  <si>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</si>
  <si>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</si>
  <si>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</si>
  <si>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</si>
  <si>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</si>
  <si>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</si>
  <si>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</si>
  <si>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</si>
  <si>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</si>
  <si>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</si>
  <si>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</si>
  <si>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</si>
  <si>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</si>
  <si>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</si>
  <si>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</si>
  <si>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</si>
  <si>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</si>
  <si>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</si>
  <si>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</si>
  <si>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</si>
  <si>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</si>
  <si>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</si>
  <si>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</si>
  <si>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</si>
  <si>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</si>
  <si>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</si>
  <si>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</si>
  <si>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</si>
  <si>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</si>
  <si>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</si>
  <si>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</si>
  <si>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</si>
  <si>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</si>
  <si>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</si>
  <si>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</si>
  <si>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</si>
  <si>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</si>
  <si>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</si>
  <si>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</si>
  <si>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</si>
  <si>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</si>
  <si>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</si>
  <si>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</si>
  <si>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</si>
  <si>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</si>
  <si>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</si>
  <si>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</si>
  <si>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</si>
  <si>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</si>
  <si>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</si>
  <si>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</si>
  <si>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</si>
  <si>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</si>
  <si>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</si>
  <si>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</si>
  <si>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</si>
  <si>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</si>
  <si>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</si>
  <si>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</si>
  <si>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</si>
  <si>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</si>
  <si>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</si>
  <si>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</si>
  <si>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</si>
  <si>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</si>
  <si>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</si>
  <si>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</si>
  <si>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</si>
  <si>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</si>
  <si>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</si>
  <si>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</si>
  <si>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</si>
  <si>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</si>
  <si>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</si>
  <si>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</si>
  <si>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</si>
  <si>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</si>
  <si>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</si>
  <si>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</si>
  <si>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</si>
  <si>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</si>
  <si>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</si>
  <si>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</si>
  <si>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</si>
  <si>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</si>
  <si>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</si>
  <si>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</si>
  <si>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</si>
  <si>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</si>
  <si>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</si>
  <si>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</si>
  <si>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</si>
  <si>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</si>
  <si>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</si>
  <si>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</si>
  <si>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</si>
  <si>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</si>
  <si>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</si>
  <si>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</si>
  <si>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</si>
  <si>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</si>
  <si>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</si>
  <si>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</si>
  <si>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</si>
  <si>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</si>
  <si>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</si>
  <si>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</si>
  <si>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</si>
  <si>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</si>
  <si>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</si>
  <si>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</si>
  <si>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</si>
  <si>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</si>
  <si>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</si>
  <si>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</si>
  <si>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</si>
  <si>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</si>
  <si>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</si>
  <si>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</si>
  <si>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</si>
  <si>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</si>
  <si>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</si>
  <si>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</si>
  <si>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</si>
  <si>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</si>
  <si>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</si>
  <si>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</si>
  <si>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</si>
  <si>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</si>
  <si>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</si>
  <si>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</si>
  <si>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</si>
  <si>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</si>
  <si>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</si>
  <si>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</si>
  <si>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</si>
  <si>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</si>
  <si>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</si>
  <si>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</si>
  <si>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</si>
  <si>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</si>
  <si>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</si>
  <si>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</si>
  <si>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</si>
  <si>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</si>
  <si>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</si>
  <si>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</si>
  <si>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</si>
  <si>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</si>
  <si>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</si>
  <si>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</si>
  <si>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</si>
  <si>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</si>
  <si>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</si>
  <si>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</si>
  <si>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</si>
  <si>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</si>
  <si>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</si>
  <si>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</si>
  <si>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</si>
  <si>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</si>
  <si>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</si>
  <si>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</si>
  <si>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</si>
  <si>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</si>
  <si>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</si>
  <si>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</si>
  <si>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</si>
  <si>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</si>
  <si>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</si>
  <si>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</si>
  <si>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</si>
  <si>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</si>
  <si>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</si>
  <si>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</si>
  <si>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</si>
  <si>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</si>
  <si>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</si>
  <si>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</si>
  <si>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</si>
  <si>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</si>
  <si>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</si>
  <si>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</si>
  <si>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</si>
  <si>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</si>
  <si>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</si>
  <si>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</si>
  <si>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</si>
  <si>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</si>
  <si>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</si>
  <si>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</si>
  <si>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</si>
  <si>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</si>
  <si>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</si>
  <si>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</si>
  <si>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</si>
  <si>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</si>
  <si>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</si>
  <si>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</si>
  <si>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</si>
  <si>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</si>
  <si>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</si>
  <si>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</si>
  <si>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</si>
  <si>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</si>
  <si>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</si>
  <si>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</si>
  <si>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</si>
  <si>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</si>
  <si>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</si>
  <si>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</si>
  <si>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</si>
  <si>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</si>
  <si>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</si>
  <si>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</si>
  <si>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</si>
  <si>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</si>
  <si>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</si>
  <si>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</si>
  <si>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</si>
  <si>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</si>
  <si>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</si>
  <si>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</si>
  <si>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</si>
  <si>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</si>
  <si>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</si>
  <si>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</si>
  <si>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</si>
  <si>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</si>
  <si>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</si>
  <si>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</si>
  <si>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</si>
  <si>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</si>
  <si>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</si>
  <si>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</si>
  <si>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</si>
  <si>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</si>
  <si>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</si>
  <si>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</si>
  <si>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</si>
  <si>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</si>
  <si>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</si>
  <si>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</si>
  <si>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</si>
  <si>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</si>
  <si>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</si>
  <si>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</si>
  <si>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</si>
  <si>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</si>
  <si>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</si>
  <si>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</si>
  <si>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</si>
  <si>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</si>
  <si>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</si>
  <si>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</si>
  <si>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</si>
  <si>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</si>
  <si>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</si>
  <si>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</si>
  <si>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</si>
  <si>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</si>
  <si>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</si>
  <si>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</si>
  <si>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</si>
  <si>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</si>
  <si>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</si>
  <si>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</si>
  <si>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</si>
  <si>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</si>
  <si>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</si>
  <si>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</si>
  <si>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</si>
  <si>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</si>
  <si>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</si>
  <si>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</si>
  <si>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</si>
  <si>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</si>
  <si>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</si>
  <si>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</si>
  <si>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</si>
  <si>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</si>
  <si>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</si>
  <si>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</si>
  <si>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</si>
  <si>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</si>
  <si>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</si>
  <si>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</si>
  <si>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</si>
  <si>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</si>
  <si>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</si>
  <si>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</si>
  <si>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</si>
  <si>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</si>
  <si>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</si>
  <si>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</si>
  <si>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</si>
  <si>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</si>
  <si>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</si>
  <si>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</si>
  <si>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</si>
  <si>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</si>
  <si>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</si>
  <si>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</si>
  <si>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</si>
  <si>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</si>
  <si>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</si>
  <si>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</si>
  <si>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</si>
  <si>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</si>
  <si>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</si>
  <si>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</si>
  <si>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</si>
  <si>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</si>
  <si>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</si>
  <si>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</si>
  <si>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</si>
  <si>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</si>
  <si>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</si>
  <si>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</si>
  <si>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</si>
  <si>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</si>
  <si>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</si>
  <si>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</si>
  <si>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</si>
  <si>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</si>
  <si>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</si>
  <si>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</si>
  <si>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</si>
  <si>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</si>
  <si>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</si>
  <si>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</si>
  <si>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</si>
  <si>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</si>
  <si>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</si>
  <si>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</si>
  <si>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</si>
  <si>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</si>
  <si>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</si>
  <si>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</si>
  <si>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</si>
  <si>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</si>
  <si>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</si>
  <si>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</si>
  <si>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</si>
  <si>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</si>
  <si>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</si>
  <si>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</si>
  <si>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</si>
  <si>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</si>
  <si>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</si>
  <si>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</si>
  <si>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</si>
  <si>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</si>
  <si>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</si>
  <si>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</si>
  <si>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</si>
  <si>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</si>
  <si>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</si>
  <si>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</si>
  <si>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</si>
  <si>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</si>
  <si>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</si>
  <si>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</si>
  <si>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</si>
  <si>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</si>
  <si>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</si>
  <si>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</si>
  <si>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</si>
  <si>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</si>
  <si>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</si>
  <si>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</si>
  <si>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</si>
  <si>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</si>
  <si>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</si>
  <si>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</si>
  <si>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</si>
  <si>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</si>
  <si>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</si>
  <si>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</si>
  <si>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</si>
  <si>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</si>
  <si>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</si>
  <si>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</si>
  <si>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</si>
  <si>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</si>
  <si>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</si>
  <si>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</si>
  <si>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</si>
  <si>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</si>
  <si>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</si>
  <si>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</si>
  <si>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</si>
  <si>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</si>
  <si>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</si>
  <si>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</si>
  <si>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</si>
  <si>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</si>
  <si>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</si>
  <si>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</si>
  <si>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</si>
  <si>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</si>
  <si>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</si>
  <si>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</si>
  <si>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</si>
  <si>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</si>
  <si>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</si>
  <si>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</si>
  <si>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</si>
  <si>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</si>
  <si>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</si>
  <si>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</si>
  <si>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</si>
  <si>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</si>
  <si>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</si>
  <si>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</si>
  <si>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</si>
  <si>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</si>
  <si>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</si>
  <si>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</si>
  <si>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</si>
  <si>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</si>
  <si>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</si>
  <si>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</si>
  <si>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</si>
  <si>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</si>
  <si>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</si>
  <si>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</si>
  <si>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</si>
  <si>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</si>
  <si>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</si>
  <si>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</si>
  <si>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</si>
  <si>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</si>
  <si>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</si>
  <si>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</si>
  <si>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</si>
  <si>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</si>
  <si>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</si>
  <si>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</si>
  <si>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</si>
  <si>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</si>
  <si>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</si>
  <si>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</si>
  <si>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</si>
  <si>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</si>
  <si>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</si>
  <si>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</si>
  <si>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</si>
  <si>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</si>
  <si>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</si>
  <si>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</si>
  <si>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</si>
  <si>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</si>
  <si>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</si>
  <si>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</si>
  <si>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</si>
  <si>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</si>
  <si>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</si>
  <si>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</si>
  <si>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</si>
  <si>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</si>
  <si>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</si>
  <si>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</si>
  <si>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</si>
  <si>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</si>
  <si>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</si>
  <si>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</si>
  <si>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</si>
  <si>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</si>
  <si>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</si>
  <si>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</si>
  <si>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</si>
  <si>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</si>
  <si>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</si>
  <si>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</si>
  <si>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</si>
  <si>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</si>
  <si>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</si>
  <si>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</si>
  <si>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</si>
  <si>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</si>
  <si>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</si>
  <si>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</si>
  <si>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</si>
  <si>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</si>
  <si>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</si>
  <si>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</si>
  <si>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</si>
  <si>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</si>
  <si>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</si>
  <si>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</si>
  <si>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</si>
  <si>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</si>
  <si>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</si>
  <si>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</si>
  <si>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</si>
  <si>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</si>
  <si>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</si>
  <si>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</si>
  <si>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</si>
  <si>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</si>
  <si>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</si>
  <si>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</si>
  <si>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</si>
  <si>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</si>
  <si>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</si>
  <si>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</si>
  <si>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</si>
  <si>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</si>
  <si>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</si>
  <si>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</si>
  <si>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</si>
  <si>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</si>
  <si>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</si>
  <si>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</si>
  <si>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</si>
  <si>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</si>
  <si>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</si>
  <si>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</si>
  <si>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</si>
  <si>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</si>
  <si>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</si>
  <si>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</si>
  <si>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</si>
  <si>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</si>
  <si>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</si>
  <si>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</si>
  <si>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</si>
  <si>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</si>
  <si>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</si>
  <si>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</si>
  <si>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</si>
  <si>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</si>
  <si>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</si>
  <si>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</si>
  <si>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</si>
  <si>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</si>
  <si>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</si>
  <si>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</si>
  <si>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</si>
  <si>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</si>
  <si>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</si>
  <si>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</si>
  <si>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</si>
  <si>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</si>
  <si>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</si>
  <si>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</si>
  <si>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</si>
  <si>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</si>
  <si>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</si>
  <si>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</si>
  <si>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</si>
  <si>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</si>
  <si>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</si>
  <si>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</si>
  <si>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</si>
  <si>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</si>
  <si>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</si>
  <si>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</si>
  <si>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</si>
  <si>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</si>
  <si>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</si>
  <si>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</si>
  <si>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</si>
  <si>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</si>
  <si>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</si>
  <si>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</si>
  <si>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</si>
  <si>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</si>
  <si>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</si>
  <si>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</si>
  <si>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</si>
  <si>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</si>
  <si>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</si>
  <si>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</si>
  <si>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</si>
  <si>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</si>
  <si>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</si>
  <si>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</si>
  <si>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</si>
  <si>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</si>
  <si>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</si>
  <si>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</si>
  <si>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</si>
  <si>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</si>
  <si>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</si>
  <si>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</si>
  <si>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</si>
  <si>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</si>
  <si>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</si>
  <si>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</si>
  <si>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</si>
  <si>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</si>
  <si>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</si>
  <si>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</si>
  <si>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</si>
  <si>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</si>
  <si>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</si>
  <si>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</si>
  <si>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</si>
  <si>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</si>
  <si>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</si>
  <si>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</si>
  <si>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</si>
  <si>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</si>
  <si>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</si>
  <si>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</si>
  <si>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</si>
  <si>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</si>
  <si>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</si>
  <si>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</si>
  <si>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</si>
  <si>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</si>
  <si>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</si>
  <si>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</si>
  <si>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</si>
  <si>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</si>
  <si>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</si>
  <si>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</si>
  <si>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</si>
  <si>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</si>
  <si>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</si>
  <si>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</si>
  <si>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</si>
  <si>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</si>
  <si>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</si>
  <si>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</si>
  <si>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</si>
  <si>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</si>
  <si>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</si>
  <si>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</si>
  <si>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</si>
  <si>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</si>
  <si>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</si>
  <si>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</si>
  <si>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</si>
  <si>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</si>
  <si>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</si>
  <si>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</si>
  <si>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</si>
  <si>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</si>
  <si>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</si>
  <si>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</si>
  <si>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</si>
  <si>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</si>
  <si>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</si>
  <si>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</si>
  <si>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</si>
  <si>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</si>
  <si>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</si>
  <si>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</si>
  <si>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</si>
  <si>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</si>
  <si>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</si>
  <si>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</si>
  <si>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</si>
  <si>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</si>
  <si>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</si>
  <si>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</si>
  <si>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</si>
  <si>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</si>
  <si>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</si>
  <si>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</si>
  <si>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</si>
  <si>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</si>
  <si>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</si>
  <si>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</si>
  <si>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</si>
  <si>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</si>
  <si>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</si>
  <si>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</si>
  <si>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</si>
  <si>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</si>
  <si>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</si>
  <si>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</si>
  <si>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</si>
  <si>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</si>
  <si>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</si>
  <si>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</si>
  <si>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</si>
  <si>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</si>
  <si>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</si>
  <si>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</si>
  <si>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</si>
  <si>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</si>
  <si>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</si>
  <si>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</si>
  <si>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</si>
  <si>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</si>
  <si>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</si>
  <si>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</si>
  <si>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</si>
  <si>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</si>
  <si>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</si>
  <si>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</si>
  <si>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</si>
  <si>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</si>
  <si>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</si>
  <si>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</si>
  <si>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</si>
  <si>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</si>
  <si>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</si>
  <si>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</si>
  <si>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</si>
  <si>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</si>
  <si>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</si>
  <si>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</si>
  <si>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</si>
  <si>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</si>
  <si>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</si>
  <si>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</si>
  <si>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</si>
  <si>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</si>
  <si>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</si>
  <si>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</si>
  <si>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</si>
  <si>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</si>
  <si>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</si>
  <si>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</si>
  <si>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</si>
  <si>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</si>
  <si>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</si>
  <si>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</si>
  <si>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</si>
  <si>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</si>
  <si>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</si>
  <si>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</si>
  <si>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</si>
  <si>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</si>
  <si>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</si>
  <si>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</si>
  <si>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</si>
  <si>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</si>
  <si>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</si>
  <si>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</si>
  <si>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</si>
  <si>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</si>
  <si>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</si>
  <si>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</si>
  <si>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</si>
  <si>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</si>
  <si>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</si>
  <si>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</si>
  <si>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</si>
  <si>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</si>
  <si>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</si>
  <si>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</si>
  <si>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</si>
  <si>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</si>
  <si>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</si>
  <si>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</si>
  <si>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</si>
  <si>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</si>
  <si>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</si>
  <si>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</si>
  <si>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</si>
  <si>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</si>
  <si>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</si>
  <si>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</si>
  <si>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</si>
  <si>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</si>
  <si>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</si>
  <si>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</si>
  <si>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</si>
  <si>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</si>
  <si>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</si>
  <si>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</si>
  <si>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</si>
  <si>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</si>
  <si>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</si>
  <si>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</si>
  <si>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</si>
  <si>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</si>
  <si>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</si>
  <si>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</si>
  <si>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</si>
  <si>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</si>
  <si>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</si>
  <si>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</si>
  <si>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</si>
  <si>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</si>
  <si>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</si>
  <si>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</si>
  <si>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</si>
  <si>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</si>
  <si>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</si>
  <si>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</si>
  <si>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</si>
  <si>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</si>
  <si>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</si>
  <si>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</si>
  <si>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</si>
  <si>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</si>
  <si>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</si>
  <si>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</si>
  <si>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</si>
  <si>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</si>
  <si>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</si>
  <si>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</si>
  <si>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</si>
  <si>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</si>
  <si>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</si>
  <si>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</si>
  <si>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</si>
  <si>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</si>
  <si>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</si>
  <si>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</si>
  <si>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</si>
  <si>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</si>
  <si>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</si>
  <si>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</si>
  <si>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</si>
  <si>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</si>
  <si>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</si>
  <si>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</si>
  <si>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</si>
  <si>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</si>
  <si>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</si>
  <si>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</si>
  <si>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</si>
  <si>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</si>
  <si>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</si>
  <si>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</si>
  <si>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</si>
  <si>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</si>
  <si>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</si>
  <si>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</si>
  <si>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</si>
  <si>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</si>
  <si>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</si>
  <si>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</si>
  <si>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</si>
  <si>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</si>
  <si>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</si>
  <si>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</si>
  <si>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</si>
  <si>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</si>
  <si>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</si>
  <si>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</si>
  <si>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</si>
  <si>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</si>
  <si>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</si>
  <si>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</si>
  <si>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</si>
  <si>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</si>
  <si>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</si>
  <si>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</si>
  <si>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</si>
  <si>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</si>
  <si>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</si>
  <si>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</si>
  <si>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</si>
  <si>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</si>
  <si>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</si>
  <si>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</si>
  <si>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</si>
  <si>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</si>
  <si>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</si>
  <si>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</si>
  <si>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</si>
  <si>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</si>
  <si>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</si>
  <si>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</si>
  <si>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</si>
  <si>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</si>
  <si>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</si>
  <si>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</si>
  <si>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</si>
  <si>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</si>
  <si>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</si>
  <si>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</si>
  <si>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</si>
  <si>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</si>
  <si>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</si>
  <si>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</si>
  <si>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</si>
  <si>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</si>
  <si>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</si>
  <si>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</si>
  <si>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</si>
  <si>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</si>
  <si>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</si>
  <si>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</si>
  <si>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</si>
  <si>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</si>
  <si>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</si>
  <si>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</si>
  <si>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</si>
  <si>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</si>
  <si>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</si>
  <si>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</si>
  <si>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</si>
  <si>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</si>
  <si>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</si>
  <si>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</si>
  <si>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</si>
  <si>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</si>
  <si>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</si>
  <si>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</si>
  <si>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</si>
  <si>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</si>
  <si>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</si>
  <si>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</si>
  <si>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</si>
  <si>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</si>
  <si>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</si>
  <si>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</si>
  <si>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</si>
  <si>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</si>
  <si>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</si>
  <si>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</si>
  <si>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</si>
  <si>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</si>
  <si>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</si>
  <si>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</si>
  <si>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</si>
  <si>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</si>
  <si>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</si>
  <si>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</si>
  <si>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</si>
  <si>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</si>
  <si>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</si>
  <si>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</si>
  <si>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</si>
  <si>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</si>
  <si>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</si>
  <si>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</si>
  <si>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</si>
  <si>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</si>
  <si>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</si>
  <si>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</si>
  <si>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</si>
  <si>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</si>
  <si>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</si>
  <si>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</si>
  <si>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</si>
  <si>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</si>
  <si>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</si>
  <si>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</si>
  <si>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</si>
  <si>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</si>
  <si>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</si>
  <si>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</si>
  <si>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</si>
  <si>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</si>
  <si>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</si>
  <si>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</si>
  <si>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</si>
  <si>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</si>
  <si>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</si>
  <si>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</si>
  <si>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</si>
  <si>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</si>
  <si>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</si>
  <si>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</si>
  <si>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</si>
  <si>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</si>
  <si>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</si>
  <si>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</si>
  <si>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</si>
  <si>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</si>
  <si>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</si>
  <si>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</si>
  <si>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</si>
  <si>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</si>
  <si>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</si>
  <si>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</si>
  <si>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</si>
  <si>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</si>
  <si>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</si>
  <si>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</si>
  <si>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</si>
  <si>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</si>
  <si>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</si>
  <si>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</si>
  <si>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</si>
  <si>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</si>
  <si>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</si>
  <si>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</si>
  <si>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</si>
  <si>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</si>
  <si>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</si>
  <si>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</si>
  <si>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</si>
  <si>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</si>
  <si>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</si>
  <si>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</si>
  <si>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</si>
  <si>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</si>
  <si>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</si>
  <si>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</si>
  <si>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</si>
  <si>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</si>
  <si>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</si>
  <si>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</si>
  <si>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</si>
  <si>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</si>
  <si>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</si>
  <si>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</si>
  <si>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</si>
  <si>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</si>
  <si>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</si>
  <si>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</si>
  <si>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</si>
  <si>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</si>
  <si>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</si>
  <si>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</si>
  <si>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</si>
  <si>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</si>
  <si>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</si>
  <si>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</si>
  <si>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</si>
  <si>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</si>
  <si>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</si>
  <si>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</si>
  <si>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</si>
  <si>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</si>
  <si>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</si>
  <si>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</si>
  <si>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</si>
  <si>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</si>
  <si>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</si>
  <si>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</si>
  <si>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</si>
  <si>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</si>
  <si>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</si>
  <si>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</si>
  <si>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</si>
  <si>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</si>
  <si>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</si>
  <si>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</si>
  <si>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</si>
  <si>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</si>
  <si>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</si>
  <si>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</si>
  <si>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</si>
  <si>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</si>
  <si>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</si>
  <si>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</si>
  <si>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</si>
  <si>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</si>
  <si>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</si>
  <si>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</si>
  <si>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</si>
  <si>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</si>
  <si>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</si>
  <si>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</si>
  <si>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</si>
  <si>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</si>
  <si>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</si>
  <si>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</si>
  <si>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</si>
  <si>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</si>
  <si>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</si>
  <si>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</si>
  <si>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</si>
  <si>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</si>
  <si>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</si>
  <si>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</si>
  <si>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</si>
  <si>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</si>
  <si>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</si>
  <si>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</si>
  <si>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</si>
  <si>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</si>
  <si>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</si>
  <si>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</si>
  <si>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</si>
  <si>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</si>
  <si>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</si>
  <si>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</si>
  <si>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</si>
  <si>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</si>
  <si>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</si>
  <si>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</si>
  <si>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</si>
  <si>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</si>
  <si>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</si>
  <si>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</si>
  <si>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</si>
  <si>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</si>
  <si>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</si>
  <si>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</si>
  <si>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</si>
  <si>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</si>
  <si>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</si>
  <si>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</si>
  <si>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</si>
  <si>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</si>
  <si>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</si>
  <si>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</si>
  <si>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</si>
  <si>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</si>
  <si>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</si>
  <si>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</si>
  <si>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</si>
  <si>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</si>
  <si>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</si>
  <si>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</si>
  <si>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</si>
  <si>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</si>
  <si>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</si>
  <si>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</si>
  <si>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</si>
  <si>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</si>
  <si>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</si>
  <si>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</si>
  <si>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</si>
  <si>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</si>
  <si>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</si>
  <si>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</si>
  <si>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</si>
  <si>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</si>
  <si>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</si>
  <si>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</si>
  <si>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</si>
  <si>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</si>
  <si>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</si>
  <si>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</si>
  <si>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</si>
  <si>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</si>
  <si>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</si>
  <si>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</si>
  <si>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</si>
  <si>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</si>
  <si>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</si>
  <si>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</si>
  <si>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</si>
  <si>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</si>
  <si>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</si>
  <si>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</si>
  <si>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</si>
  <si>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</si>
  <si>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</si>
  <si>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</si>
  <si>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</si>
  <si>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</si>
  <si>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</si>
  <si>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</si>
  <si>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</si>
  <si>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</si>
  <si>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</si>
  <si>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</si>
  <si>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</si>
  <si>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</si>
  <si>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</si>
  <si>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</si>
  <si>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</si>
  <si>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</si>
  <si>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</si>
  <si>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</si>
  <si>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</si>
  <si>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</si>
  <si>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</si>
  <si>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</si>
  <si>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</si>
  <si>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</si>
  <si>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</si>
  <si>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</si>
  <si>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</si>
  <si>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</si>
  <si>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</si>
  <si>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</si>
  <si>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</si>
  <si>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</si>
  <si>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</si>
  <si>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</si>
  <si>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</si>
  <si>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</si>
  <si>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</si>
  <si>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</si>
  <si>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</si>
  <si>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</si>
  <si>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</si>
  <si>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</si>
  <si>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</si>
  <si>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</si>
  <si>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</si>
  <si>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</si>
  <si>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</si>
  <si>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</si>
  <si>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</si>
  <si>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</si>
  <si>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</si>
  <si>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</si>
  <si>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</si>
  <si>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</si>
  <si>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</si>
  <si>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</si>
  <si>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</si>
  <si>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</si>
  <si>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</si>
  <si>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</si>
  <si>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</si>
  <si>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</si>
  <si>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</si>
  <si>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</si>
  <si>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</si>
  <si>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</si>
  <si>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</si>
  <si>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</si>
  <si>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</si>
  <si>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</si>
  <si>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</si>
  <si>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</si>
  <si>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</si>
  <si>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</si>
  <si>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</si>
  <si>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</si>
  <si>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</si>
  <si>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</si>
  <si>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</si>
  <si>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</si>
  <si>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</si>
  <si>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</si>
  <si>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</si>
  <si>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</si>
  <si>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</si>
  <si>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</si>
  <si>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</si>
  <si>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</si>
  <si>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</si>
  <si>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</si>
  <si>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</si>
  <si>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</si>
  <si>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</si>
  <si>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</si>
  <si>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</si>
  <si>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</si>
  <si>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</si>
  <si>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</si>
  <si>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</si>
  <si>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</si>
  <si>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</si>
  <si>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</si>
  <si>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</si>
  <si>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</si>
  <si>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</si>
  <si>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</si>
  <si>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</si>
  <si>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</si>
  <si>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</si>
  <si>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</si>
  <si>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</si>
  <si>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</si>
  <si>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</si>
  <si>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</si>
  <si>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</si>
  <si>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</si>
  <si>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</si>
  <si>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</si>
  <si>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</si>
  <si>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</si>
  <si>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</si>
  <si>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</si>
  <si>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</si>
  <si>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</si>
  <si>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</si>
  <si>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</si>
  <si>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</si>
  <si>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</si>
  <si>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</si>
  <si>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</si>
  <si>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</si>
  <si>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</si>
  <si>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</si>
  <si>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</si>
  <si>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</si>
  <si>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</si>
  <si>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</si>
  <si>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</si>
  <si>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</si>
  <si>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</si>
  <si>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</si>
  <si>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</si>
  <si>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</si>
  <si>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</si>
  <si>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</si>
  <si>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</si>
  <si>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</si>
  <si>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</si>
  <si>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</si>
  <si>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</si>
  <si>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</si>
  <si>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</si>
  <si>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</si>
  <si>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</si>
  <si>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</si>
  <si>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</si>
  <si>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</si>
  <si>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</si>
  <si>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</si>
  <si>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</si>
  <si>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</si>
  <si>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</si>
  <si>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</si>
  <si>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</si>
  <si>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</si>
  <si>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</si>
  <si>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</si>
  <si>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</si>
  <si>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</si>
  <si>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</si>
  <si>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</si>
  <si>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</si>
  <si>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</si>
  <si>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</si>
  <si>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</si>
  <si>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</si>
  <si>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</si>
  <si>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</si>
  <si>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</si>
  <si>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</si>
  <si>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</si>
  <si>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</si>
  <si>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</si>
  <si>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</si>
  <si>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</si>
  <si>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</si>
  <si>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</si>
  <si>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</si>
  <si>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</si>
  <si>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</si>
  <si>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</si>
  <si>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</si>
  <si>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</si>
  <si>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</si>
  <si>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</si>
  <si>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</si>
  <si>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</si>
  <si>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</si>
  <si>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</si>
  <si>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</si>
  <si>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</si>
  <si>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</si>
  <si>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</si>
  <si>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</si>
  <si>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</si>
  <si>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</si>
  <si>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</si>
  <si>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</si>
  <si>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</si>
  <si>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</si>
  <si>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</si>
  <si>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</si>
  <si>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</si>
  <si>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</si>
  <si>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</si>
  <si>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</si>
  <si>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</si>
  <si>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</si>
  <si>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</si>
  <si>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</si>
  <si>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</si>
  <si>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</si>
  <si>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</si>
  <si>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</si>
  <si>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</si>
  <si>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</si>
  <si>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</si>
  <si>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</si>
  <si>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</si>
  <si>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</si>
  <si>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</si>
  <si>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</si>
  <si>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</si>
  <si>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</si>
  <si>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</si>
  <si>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</si>
  <si>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</si>
  <si>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</si>
  <si>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</si>
  <si>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</si>
  <si>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</si>
  <si>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</si>
  <si>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</si>
  <si>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</si>
  <si>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Total Sales</t>
  </si>
  <si>
    <t>Sr No</t>
  </si>
  <si>
    <t>No of Items</t>
  </si>
  <si>
    <t>Average of Rating</t>
  </si>
  <si>
    <t>No. of Items</t>
  </si>
  <si>
    <t>Average Ratings</t>
  </si>
  <si>
    <t>KPI's Requirements</t>
  </si>
  <si>
    <t>Total Sales by Fat Content</t>
  </si>
  <si>
    <t>Total Sales by Item Type</t>
  </si>
  <si>
    <t>Total Sales by Outlet Establishment</t>
  </si>
  <si>
    <t>Row Labels</t>
  </si>
  <si>
    <t>Grand Total</t>
  </si>
  <si>
    <t>sales by outlet size</t>
  </si>
  <si>
    <t>Average of Sales</t>
  </si>
  <si>
    <t>Count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</si>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</sst>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0"/>
    <numFmt numFmtId="166" formatCode="0.0"/>
    <numFmt numFmtId="167" formatCode="&quot;$&quot;0.0,&quot;K&quot;"/>
    <numFmt numFmtId="168"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166" fontId="0" fillId="0" borderId="16" xfId="0" applyNumberFormat="1" applyBorder="1"/>
    <xf numFmtId="0" fontId="0" fillId="0" borderId="17" xfId="0" applyBorder="1"/>
    <xf numFmtId="0" fontId="0" fillId="0" borderId="16" xfId="0" applyBorder="1"/>
    <xf numFmtId="0" fontId="0" fillId="0" borderId="18" xfId="0" applyBorder="1"/>
    <xf numFmtId="0" fontId="0" fillId="0" borderId="19" xfId="0" applyBorder="1"/>
    <xf numFmtId="0" fontId="0" fillId="0" borderId="20" xfId="0" applyBorder="1"/>
    <xf numFmtId="0" fontId="0" fillId="0" borderId="13" xfId="0" applyBorder="1" applyAlignment="1">
      <alignment horizontal="left"/>
    </xf>
    <xf numFmtId="0" fontId="0" fillId="0" borderId="15" xfId="0" applyBorder="1" applyAlignment="1">
      <alignment horizontal="left"/>
    </xf>
    <xf numFmtId="167" fontId="0" fillId="0" borderId="21" xfId="0" applyNumberFormat="1" applyBorder="1"/>
    <xf numFmtId="167" fontId="0" fillId="0" borderId="22" xfId="0" applyNumberFormat="1" applyBorder="1"/>
    <xf numFmtId="0" fontId="0" fillId="0" borderId="10" xfId="0" pivotButton="1" applyBorder="1"/>
    <xf numFmtId="167" fontId="0" fillId="0" borderId="14"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0" xfId="0" applyAlignment="1">
      <alignment horizontal="left"/>
    </xf>
    <xf numFmtId="167" fontId="0" fillId="0" borderId="23" xfId="0" applyNumberFormat="1" applyBorder="1"/>
    <xf numFmtId="167" fontId="0" fillId="0" borderId="0" xfId="0" applyNumberFormat="1"/>
    <xf numFmtId="0" fontId="0" fillId="0" borderId="0" xfId="0" pivotButton="1"/>
    <xf numFmtId="168" fontId="0" fillId="0" borderId="0" xfId="0" applyNumberFormat="1"/>
    <xf numFmtId="0" fontId="0" fillId="33" borderId="10" xfId="0" applyFill="1" applyBorder="1" applyAlignment="1">
      <alignment horizontal="center"/>
    </xf>
    <xf numFmtId="0" fontId="0" fillId="33" borderId="11" xfId="0" applyFill="1" applyBorder="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
    </dxf>
    <dxf>
      <numFmt numFmtId="167" formatCode="&quot;$&quot;0.0,&quot;K&quot;"/>
    </dxf>
    <dxf>
      <numFmt numFmtId="167" formatCode="&quot;$&quot;0.0,&quot;K&quot;"/>
    </dxf>
    <dxf>
      <numFmt numFmtId="168" formatCode="&quot;$&quot;0"/>
    </dxf>
    <dxf>
      <numFmt numFmtId="167" formatCode="&quot;$&quot;0.0,&quot;K&quot;"/>
    </dxf>
    <dxf>
      <font>
        <b/>
        <color theme="1"/>
      </font>
      <border>
        <bottom style="thin">
          <color theme="7"/>
        </bottom>
        <vertical/>
        <horizontal/>
      </border>
    </dxf>
    <dxf>
      <font>
        <color auto="1"/>
      </font>
      <fill>
        <patternFill>
          <bgColor theme="7" tint="0.39994506668294322"/>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gradientFill degree="90">
          <stop position="0">
            <color theme="0"/>
          </stop>
          <stop position="1">
            <color theme="4"/>
          </stop>
        </gradientFill>
      </fill>
      <border>
        <left/>
        <right/>
        <top/>
        <bottom/>
        <vertical/>
        <horizontal/>
      </border>
    </dxf>
  </dxfs>
  <tableStyles count="2" defaultTableStyle="TableStyleMedium2" defaultPivotStyle="PivotStyleLight16">
    <tableStyle name="Blinkit" pivot="0" table="0" count="10" xr9:uid="{E0E34EB3-C007-4032-8C44-3F45EF23C258}">
      <tableStyleElement type="wholeTable" dxfId="21"/>
      <tableStyleElement type="headerRow" dxfId="20"/>
    </tableStyle>
    <tableStyle name="Blinkit Analysis" pivot="0" table="0" count="10" xr9:uid="{6AD4C826-7281-442B-95A3-6238B4870F41}">
      <tableStyleElement type="wholeTable" dxfId="19"/>
      <tableStyleElement type="headerRow" dxfId="18"/>
    </tableStyle>
  </tableStyles>
  <colors>
    <mruColors>
      <color rgb="FFFFD2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EF-479B-8215-5B769C247C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EF-479B-8215-5B769C247CFE}"/>
              </c:ext>
            </c:extLst>
          </c:dPt>
          <c:cat>
            <c:strRef>
              <c:f>'Sheets Design'!$A$14:$A$15</c:f>
              <c:strCache>
                <c:ptCount val="2"/>
                <c:pt idx="0">
                  <c:v>Low Fat</c:v>
                </c:pt>
                <c:pt idx="1">
                  <c:v>Regular</c:v>
                </c:pt>
              </c:strCache>
            </c:strRef>
          </c:cat>
          <c:val>
            <c:numRef>
              <c:f>'Sheets Design'!$B$14:$B$15</c:f>
              <c:numCache>
                <c:formatCode>"$"0.0,"K"</c:formatCode>
                <c:ptCount val="2"/>
                <c:pt idx="0">
                  <c:v>315228.35880000028</c:v>
                </c:pt>
                <c:pt idx="1">
                  <c:v>129565.8115999999</c:v>
                </c:pt>
              </c:numCache>
            </c:numRef>
          </c:val>
          <c:extLst>
            <c:ext xmlns:c16="http://schemas.microsoft.com/office/drawing/2014/chart" uri="{C3380CC4-5D6E-409C-BE32-E72D297353CC}">
              <c16:uniqueId val="{00000000-5089-4772-998D-338E501FCC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Design'!$B$19:$B$20</c:f>
              <c:strCache>
                <c:ptCount val="1"/>
                <c:pt idx="0">
                  <c:v>Regular</c:v>
                </c:pt>
              </c:strCache>
            </c:strRef>
          </c:tx>
          <c:spPr>
            <a:solidFill>
              <a:schemeClr val="accent1"/>
            </a:solidFill>
            <a:ln>
              <a:noFill/>
            </a:ln>
            <a:effectLst/>
          </c:spPr>
          <c:invertIfNegative val="0"/>
          <c:cat>
            <c:strRef>
              <c:f>'Sheets Design'!$A$21:$A$23</c:f>
              <c:strCache>
                <c:ptCount val="3"/>
                <c:pt idx="0">
                  <c:v>Tier 1</c:v>
                </c:pt>
                <c:pt idx="1">
                  <c:v>Tier 2</c:v>
                </c:pt>
                <c:pt idx="2">
                  <c:v>Tier 3</c:v>
                </c:pt>
              </c:strCache>
            </c:strRef>
          </c:cat>
          <c:val>
            <c:numRef>
              <c:f>'Sheets Design'!$B$21:$B$23</c:f>
              <c:numCache>
                <c:formatCode>"$"0.0,"K"</c:formatCode>
                <c:ptCount val="3"/>
                <c:pt idx="0">
                  <c:v>73289.095600000044</c:v>
                </c:pt>
                <c:pt idx="1">
                  <c:v>51721.007199999993</c:v>
                </c:pt>
                <c:pt idx="2">
                  <c:v>4555.7088000000003</c:v>
                </c:pt>
              </c:numCache>
            </c:numRef>
          </c:val>
          <c:extLst>
            <c:ext xmlns:c16="http://schemas.microsoft.com/office/drawing/2014/chart" uri="{C3380CC4-5D6E-409C-BE32-E72D297353CC}">
              <c16:uniqueId val="{00000000-ED32-46B1-8BC5-68F5520CEB07}"/>
            </c:ext>
          </c:extLst>
        </c:ser>
        <c:ser>
          <c:idx val="1"/>
          <c:order val="1"/>
          <c:tx>
            <c:strRef>
              <c:f>'Sheets Design'!$C$19:$C$20</c:f>
              <c:strCache>
                <c:ptCount val="1"/>
                <c:pt idx="0">
                  <c:v>Low Fat</c:v>
                </c:pt>
              </c:strCache>
            </c:strRef>
          </c:tx>
          <c:spPr>
            <a:solidFill>
              <a:schemeClr val="accent2"/>
            </a:solidFill>
            <a:ln>
              <a:noFill/>
            </a:ln>
            <a:effectLst/>
          </c:spPr>
          <c:invertIfNegative val="0"/>
          <c:cat>
            <c:strRef>
              <c:f>'Sheets Design'!$A$21:$A$23</c:f>
              <c:strCache>
                <c:ptCount val="3"/>
                <c:pt idx="0">
                  <c:v>Tier 1</c:v>
                </c:pt>
                <c:pt idx="1">
                  <c:v>Tier 2</c:v>
                </c:pt>
                <c:pt idx="2">
                  <c:v>Tier 3</c:v>
                </c:pt>
              </c:strCache>
            </c:strRef>
          </c:cat>
          <c:val>
            <c:numRef>
              <c:f>'Sheets Design'!$C$21:$C$23</c:f>
              <c:numCache>
                <c:formatCode>"$"0.0,"K"</c:formatCode>
                <c:ptCount val="3"/>
                <c:pt idx="0">
                  <c:v>132631.85659999997</c:v>
                </c:pt>
                <c:pt idx="1">
                  <c:v>178768.87860000005</c:v>
                </c:pt>
                <c:pt idx="2">
                  <c:v>3827.6235999999999</c:v>
                </c:pt>
              </c:numCache>
            </c:numRef>
          </c:val>
          <c:extLst>
            <c:ext xmlns:c16="http://schemas.microsoft.com/office/drawing/2014/chart" uri="{C3380CC4-5D6E-409C-BE32-E72D297353CC}">
              <c16:uniqueId val="{00000001-ED32-46B1-8BC5-68F5520CEB07}"/>
            </c:ext>
          </c:extLst>
        </c:ser>
        <c:dLbls>
          <c:showLegendKey val="0"/>
          <c:showVal val="0"/>
          <c:showCatName val="0"/>
          <c:showSerName val="0"/>
          <c:showPercent val="0"/>
          <c:showBubbleSize val="0"/>
        </c:dLbls>
        <c:gapWidth val="182"/>
        <c:axId val="1630854560"/>
        <c:axId val="235792992"/>
      </c:barChart>
      <c:catAx>
        <c:axId val="163085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92992"/>
        <c:crosses val="autoZero"/>
        <c:auto val="1"/>
        <c:lblAlgn val="ctr"/>
        <c:lblOffset val="100"/>
        <c:noMultiLvlLbl val="0"/>
      </c:catAx>
      <c:valAx>
        <c:axId val="235792992"/>
        <c:scaling>
          <c:orientation val="minMax"/>
        </c:scaling>
        <c:delete val="1"/>
        <c:axPos val="b"/>
        <c:numFmt formatCode="&quot;$&quot;0.0,&quot;K&quot;" sourceLinked="1"/>
        <c:majorTickMark val="none"/>
        <c:minorTickMark val="none"/>
        <c:tickLblPos val="nextTo"/>
        <c:crossAx val="1630854560"/>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Design'!$A$30:$A$45</c:f>
              <c:strCache>
                <c:ptCount val="16"/>
                <c:pt idx="0">
                  <c:v>Seafood</c:v>
                </c:pt>
                <c:pt idx="1">
                  <c:v>Breakfast</c:v>
                </c:pt>
                <c:pt idx="2">
                  <c:v>Starchy Foods</c:v>
                </c:pt>
                <c:pt idx="3">
                  <c:v>Others</c:v>
                </c:pt>
                <c:pt idx="4">
                  <c:v>Hard Drinks</c:v>
                </c:pt>
                <c:pt idx="5">
                  <c:v>Breads</c:v>
                </c:pt>
                <c:pt idx="6">
                  <c:v>Meat</c:v>
                </c:pt>
                <c:pt idx="7">
                  <c:v>Soft Drinks</c:v>
                </c:pt>
                <c:pt idx="8">
                  <c:v>Baking Goods</c:v>
                </c:pt>
                <c:pt idx="9">
                  <c:v>Health and Hygiene</c:v>
                </c:pt>
                <c:pt idx="10">
                  <c:v>Canned</c:v>
                </c:pt>
                <c:pt idx="11">
                  <c:v>Dairy</c:v>
                </c:pt>
                <c:pt idx="12">
                  <c:v>Frozen Foods</c:v>
                </c:pt>
                <c:pt idx="13">
                  <c:v>Household</c:v>
                </c:pt>
                <c:pt idx="14">
                  <c:v>Fruits and Vegetables</c:v>
                </c:pt>
                <c:pt idx="15">
                  <c:v>Snack Foods</c:v>
                </c:pt>
              </c:strCache>
            </c:strRef>
          </c:cat>
          <c:val>
            <c:numRef>
              <c:f>'Sheets Design'!$B$30:$B$45</c:f>
              <c:numCache>
                <c:formatCode>"$"0.0,"K"</c:formatCode>
                <c:ptCount val="16"/>
                <c:pt idx="0">
                  <c:v>3316.039400000001</c:v>
                </c:pt>
                <c:pt idx="1">
                  <c:v>4788.541400000001</c:v>
                </c:pt>
                <c:pt idx="2">
                  <c:v>7268.7753999999977</c:v>
                </c:pt>
                <c:pt idx="3">
                  <c:v>10324.573599999998</c:v>
                </c:pt>
                <c:pt idx="4">
                  <c:v>10696.120999999999</c:v>
                </c:pt>
                <c:pt idx="5">
                  <c:v>12758.775600000001</c:v>
                </c:pt>
                <c:pt idx="6">
                  <c:v>19391.761799999997</c:v>
                </c:pt>
                <c:pt idx="7">
                  <c:v>23947.831200000008</c:v>
                </c:pt>
                <c:pt idx="8">
                  <c:v>28639.718200000007</c:v>
                </c:pt>
                <c:pt idx="9">
                  <c:v>31517.808799999984</c:v>
                </c:pt>
                <c:pt idx="10">
                  <c:v>32937.534199999995</c:v>
                </c:pt>
                <c:pt idx="11">
                  <c:v>35675.990800000029</c:v>
                </c:pt>
                <c:pt idx="12">
                  <c:v>43553.017</c:v>
                </c:pt>
                <c:pt idx="13">
                  <c:v>59352.546200000019</c:v>
                </c:pt>
                <c:pt idx="14">
                  <c:v>59721.052199999984</c:v>
                </c:pt>
                <c:pt idx="15">
                  <c:v>60904.083600000042</c:v>
                </c:pt>
              </c:numCache>
            </c:numRef>
          </c:val>
          <c:extLst>
            <c:ext xmlns:c16="http://schemas.microsoft.com/office/drawing/2014/chart" uri="{C3380CC4-5D6E-409C-BE32-E72D297353CC}">
              <c16:uniqueId val="{00000000-66EF-4049-817F-E5A7C831F1F9}"/>
            </c:ext>
          </c:extLst>
        </c:ser>
        <c:dLbls>
          <c:dLblPos val="outEnd"/>
          <c:showLegendKey val="0"/>
          <c:showVal val="1"/>
          <c:showCatName val="0"/>
          <c:showSerName val="0"/>
          <c:showPercent val="0"/>
          <c:showBubbleSize val="0"/>
        </c:dLbls>
        <c:gapWidth val="182"/>
        <c:axId val="538848096"/>
        <c:axId val="538851936"/>
      </c:barChart>
      <c:catAx>
        <c:axId val="53884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851936"/>
        <c:crosses val="autoZero"/>
        <c:auto val="1"/>
        <c:lblAlgn val="ctr"/>
        <c:lblOffset val="100"/>
        <c:noMultiLvlLbl val="0"/>
      </c:catAx>
      <c:valAx>
        <c:axId val="538851936"/>
        <c:scaling>
          <c:orientation val="minMax"/>
        </c:scaling>
        <c:delete val="1"/>
        <c:axPos val="b"/>
        <c:numFmt formatCode="&quot;$&quot;0.0,&quot;K&quot;" sourceLinked="1"/>
        <c:majorTickMark val="none"/>
        <c:minorTickMark val="none"/>
        <c:tickLblPos val="nextTo"/>
        <c:crossAx val="53884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Design'!$B$50</c:f>
              <c:strCache>
                <c:ptCount val="1"/>
                <c:pt idx="0">
                  <c:v>Total</c:v>
                </c:pt>
              </c:strCache>
            </c:strRef>
          </c:tx>
          <c:spPr>
            <a:solidFill>
              <a:schemeClr val="accent1"/>
            </a:solidFill>
            <a:ln>
              <a:noFill/>
            </a:ln>
            <a:effectLst/>
          </c:spPr>
          <c:cat>
            <c:strRef>
              <c:f>'Sheets Design'!$A$51:$A$54</c:f>
              <c:strCache>
                <c:ptCount val="3"/>
                <c:pt idx="0">
                  <c:v>2012</c:v>
                </c:pt>
                <c:pt idx="1">
                  <c:v>2016</c:v>
                </c:pt>
                <c:pt idx="2">
                  <c:v>2018</c:v>
                </c:pt>
              </c:strCache>
            </c:strRef>
          </c:cat>
          <c:val>
            <c:numRef>
              <c:f>'Sheets Design'!$B$51:$B$54</c:f>
              <c:numCache>
                <c:formatCode>"$"0.0,"K"</c:formatCode>
                <c:ptCount val="3"/>
                <c:pt idx="0">
                  <c:v>130476.85980000001</c:v>
                </c:pt>
                <c:pt idx="1">
                  <c:v>132113.36979999999</c:v>
                </c:pt>
                <c:pt idx="2">
                  <c:v>73807.582399999956</c:v>
                </c:pt>
              </c:numCache>
            </c:numRef>
          </c:val>
          <c:extLst>
            <c:ext xmlns:c16="http://schemas.microsoft.com/office/drawing/2014/chart" uri="{C3380CC4-5D6E-409C-BE32-E72D297353CC}">
              <c16:uniqueId val="{00000000-CADF-4458-981C-07C39FCAA95A}"/>
            </c:ext>
          </c:extLst>
        </c:ser>
        <c:dLbls>
          <c:showLegendKey val="0"/>
          <c:showVal val="0"/>
          <c:showCatName val="0"/>
          <c:showSerName val="0"/>
          <c:showPercent val="0"/>
          <c:showBubbleSize val="0"/>
        </c:dLbls>
        <c:axId val="447465104"/>
        <c:axId val="447468944"/>
      </c:areaChart>
      <c:catAx>
        <c:axId val="447465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68944"/>
        <c:crosses val="autoZero"/>
        <c:auto val="1"/>
        <c:lblAlgn val="ctr"/>
        <c:lblOffset val="100"/>
        <c:noMultiLvlLbl val="0"/>
      </c:catAx>
      <c:valAx>
        <c:axId val="447468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65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BC-4B25-A9EF-46B84E56FA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BC-4B25-A9EF-46B84E56FA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BC-4B25-A9EF-46B84E56FAA0}"/>
              </c:ext>
            </c:extLst>
          </c:dPt>
          <c:cat>
            <c:strRef>
              <c:f>'Sheets Design'!$A$65:$A$68</c:f>
              <c:strCache>
                <c:ptCount val="3"/>
                <c:pt idx="0">
                  <c:v>High</c:v>
                </c:pt>
                <c:pt idx="1">
                  <c:v>Medium</c:v>
                </c:pt>
                <c:pt idx="2">
                  <c:v>Small</c:v>
                </c:pt>
              </c:strCache>
            </c:strRef>
          </c:cat>
          <c:val>
            <c:numRef>
              <c:f>'Sheets Design'!$B$65:$B$68</c:f>
              <c:numCache>
                <c:formatCode>"$"0.0,"K"</c:formatCode>
                <c:ptCount val="3"/>
                <c:pt idx="0">
                  <c:v>21092.504599999993</c:v>
                </c:pt>
                <c:pt idx="1">
                  <c:v>44507.966199999995</c:v>
                </c:pt>
                <c:pt idx="2">
                  <c:v>35675.990800000021</c:v>
                </c:pt>
              </c:numCache>
            </c:numRef>
          </c:val>
          <c:extLst>
            <c:ext xmlns:c16="http://schemas.microsoft.com/office/drawing/2014/chart" uri="{C3380CC4-5D6E-409C-BE32-E72D297353CC}">
              <c16:uniqueId val="{00000000-6314-41A0-852A-12498891A2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Design!PivotTable13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chemeClr val="accent1"/>
            </a:solidFill>
            <a:ln>
              <a:noFill/>
            </a:ln>
            <a:effectLst/>
          </c:spPr>
          <c:invertIfNegative val="0"/>
          <c:cat>
            <c:strRef>
              <c:f>'Sheets Design'!$A$89:$A$92</c:f>
              <c:strCache>
                <c:ptCount val="4"/>
                <c:pt idx="0">
                  <c:v>Grocery Store</c:v>
                </c:pt>
                <c:pt idx="1">
                  <c:v>Supermarket Type1</c:v>
                </c:pt>
                <c:pt idx="2">
                  <c:v>Supermarket Type2</c:v>
                </c:pt>
                <c:pt idx="3">
                  <c:v>Supermarket Type3</c:v>
                </c:pt>
              </c:strCache>
            </c:strRef>
          </c:cat>
          <c:val>
            <c:numRef>
              <c:f>'Sheets Design'!$B$89:$B$92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4B88-48F1-9F2D-8C9917EF6048}"/>
            </c:ext>
          </c:extLst>
        </c:ser>
        <c:dLbls>
          <c:showLegendKey val="0"/>
          <c:showVal val="0"/>
          <c:showCatName val="0"/>
          <c:showSerName val="0"/>
          <c:showPercent val="0"/>
          <c:showBubbleSize val="0"/>
        </c:dLbls>
        <c:gapWidth val="182"/>
        <c:axId val="447580672"/>
        <c:axId val="670385919"/>
      </c:barChart>
      <c:catAx>
        <c:axId val="44758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85919"/>
        <c:crosses val="autoZero"/>
        <c:auto val="1"/>
        <c:lblAlgn val="ctr"/>
        <c:lblOffset val="100"/>
        <c:noMultiLvlLbl val="0"/>
      </c:catAx>
      <c:valAx>
        <c:axId val="670385919"/>
        <c:scaling>
          <c:orientation val="minMax"/>
        </c:scaling>
        <c:delete val="1"/>
        <c:axPos val="b"/>
        <c:numFmt formatCode="&quot;$&quot;0.0,&quot;K&quot;" sourceLinked="1"/>
        <c:majorTickMark val="none"/>
        <c:minorTickMark val="none"/>
        <c:tickLblPos val="nextTo"/>
        <c:crossAx val="44758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Design!PivotTable14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Design'!$B$105</c:f>
              <c:strCache>
                <c:ptCount val="1"/>
                <c:pt idx="0">
                  <c:v>Total</c:v>
                </c:pt>
              </c:strCache>
            </c:strRef>
          </c:tx>
          <c:spPr>
            <a:solidFill>
              <a:schemeClr val="accent1"/>
            </a:solidFill>
            <a:ln>
              <a:noFill/>
            </a:ln>
            <a:effectLst/>
          </c:spPr>
          <c:invertIfNegative val="0"/>
          <c:cat>
            <c:strRef>
              <c:f>'Sheets Design'!$A$106:$A$109</c:f>
              <c:strCache>
                <c:ptCount val="4"/>
                <c:pt idx="0">
                  <c:v>Grocery Store</c:v>
                </c:pt>
                <c:pt idx="1">
                  <c:v>Supermarket Type1</c:v>
                </c:pt>
                <c:pt idx="2">
                  <c:v>Supermarket Type2</c:v>
                </c:pt>
                <c:pt idx="3">
                  <c:v>Supermarket Type3</c:v>
                </c:pt>
              </c:strCache>
            </c:strRef>
          </c:cat>
          <c:val>
            <c:numRef>
              <c:f>'Sheets Design'!$B$106:$B$109</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282C-46A8-84E6-48F64DF4281E}"/>
            </c:ext>
          </c:extLst>
        </c:ser>
        <c:dLbls>
          <c:showLegendKey val="0"/>
          <c:showVal val="0"/>
          <c:showCatName val="0"/>
          <c:showSerName val="0"/>
          <c:showPercent val="0"/>
          <c:showBubbleSize val="0"/>
        </c:dLbls>
        <c:gapWidth val="182"/>
        <c:axId val="543834976"/>
        <c:axId val="543825856"/>
      </c:barChart>
      <c:catAx>
        <c:axId val="54383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5856"/>
        <c:crosses val="autoZero"/>
        <c:auto val="1"/>
        <c:lblAlgn val="ctr"/>
        <c:lblOffset val="100"/>
        <c:noMultiLvlLbl val="0"/>
      </c:catAx>
      <c:valAx>
        <c:axId val="543825856"/>
        <c:scaling>
          <c:orientation val="minMax"/>
        </c:scaling>
        <c:delete val="1"/>
        <c:axPos val="b"/>
        <c:numFmt formatCode="&quot;$&quot;0" sourceLinked="1"/>
        <c:majorTickMark val="none"/>
        <c:minorTickMark val="none"/>
        <c:tickLblPos val="nextTo"/>
        <c:crossAx val="5438349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Design!PivotTable15</c:name>
    <c:fmtId val="25"/>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Design'!$A$122:$A$125</c:f>
              <c:strCache>
                <c:ptCount val="4"/>
                <c:pt idx="0">
                  <c:v>Grocery Store</c:v>
                </c:pt>
                <c:pt idx="1">
                  <c:v>Supermarket Type1</c:v>
                </c:pt>
                <c:pt idx="2">
                  <c:v>Supermarket Type2</c:v>
                </c:pt>
                <c:pt idx="3">
                  <c:v>Supermarket Type3</c:v>
                </c:pt>
              </c:strCache>
            </c:strRef>
          </c:cat>
          <c:val>
            <c:numRef>
              <c:f>'Sheets Design'!$B$122:$B$125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8467-4A9C-8C90-7802C3AD57BF}"/>
            </c:ext>
          </c:extLst>
        </c:ser>
        <c:dLbls>
          <c:dLblPos val="outEnd"/>
          <c:showLegendKey val="0"/>
          <c:showVal val="1"/>
          <c:showCatName val="0"/>
          <c:showSerName val="0"/>
          <c:showPercent val="0"/>
          <c:showBubbleSize val="0"/>
        </c:dLbls>
        <c:gapWidth val="60"/>
        <c:axId val="767333135"/>
        <c:axId val="767323535"/>
      </c:barChart>
      <c:catAx>
        <c:axId val="7673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23535"/>
        <c:crosses val="autoZero"/>
        <c:auto val="1"/>
        <c:lblAlgn val="ctr"/>
        <c:lblOffset val="100"/>
        <c:noMultiLvlLbl val="0"/>
      </c:catAx>
      <c:valAx>
        <c:axId val="767323535"/>
        <c:scaling>
          <c:orientation val="minMax"/>
        </c:scaling>
        <c:delete val="1"/>
        <c:axPos val="b"/>
        <c:numFmt formatCode="&quot;$&quot;0" sourceLinked="1"/>
        <c:majorTickMark val="none"/>
        <c:minorTickMark val="none"/>
        <c:tickLblPos val="nextTo"/>
        <c:crossAx val="76733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5342671661472373"/>
              <c:y val="9.673979280926264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74549957294472"/>
                  <c:h val="0.17613091610806419"/>
                </c:manualLayout>
              </c15:layout>
            </c:ext>
          </c:extLst>
        </c:dLbl>
      </c:pivotFmt>
      <c:pivotFmt>
        <c:idx val="6"/>
        <c:spPr>
          <a:solidFill>
            <a:schemeClr val="accent6">
              <a:lumMod val="75000"/>
            </a:schemeClr>
          </a:solidFill>
          <a:ln w="19050">
            <a:solidFill>
              <a:schemeClr val="lt1"/>
            </a:solidFill>
          </a:ln>
          <a:effectLst/>
        </c:spPr>
        <c:dLbl>
          <c:idx val="0"/>
          <c:layout>
            <c:manualLayout>
              <c:x val="-0.11024305555555557"/>
              <c:y val="-9.673979280926270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88932291666665"/>
                  <c:h val="0.25452264879138731"/>
                </c:manualLayout>
              </c15:layout>
            </c:ext>
          </c:extLst>
        </c:dLbl>
      </c:pivotFmt>
    </c:pivotFmts>
    <c:plotArea>
      <c:layout>
        <c:manualLayout>
          <c:layoutTarget val="inner"/>
          <c:xMode val="edge"/>
          <c:yMode val="edge"/>
          <c:x val="0.13714149305555556"/>
          <c:y val="0.16211202518789355"/>
          <c:w val="0.71469270833333343"/>
          <c:h val="0.83620353443022555"/>
        </c:manualLayout>
      </c:layout>
      <c:doughnutChart>
        <c:varyColors val="1"/>
        <c:ser>
          <c:idx val="0"/>
          <c:order val="0"/>
          <c:tx>
            <c:strRef>
              <c:f>'Sheets Design'!$B$13</c:f>
              <c:strCache>
                <c:ptCount val="1"/>
                <c:pt idx="0">
                  <c:v>Total</c:v>
                </c:pt>
              </c:strCache>
            </c:strRef>
          </c:tx>
          <c:spPr>
            <a:solidFill>
              <a:schemeClr val="accent6">
                <a:lumMod val="75000"/>
              </a:schemeClr>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E304-4F78-AC41-C56BA85B339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304-4F78-AC41-C56BA85B3394}"/>
              </c:ext>
            </c:extLst>
          </c:dPt>
          <c:dLbls>
            <c:dLbl>
              <c:idx val="0"/>
              <c:layout>
                <c:manualLayout>
                  <c:x val="0.15342671661472373"/>
                  <c:y val="9.6739792809262648E-2"/>
                </c:manualLayout>
              </c:layout>
              <c:showLegendKey val="0"/>
              <c:showVal val="1"/>
              <c:showCatName val="0"/>
              <c:showSerName val="0"/>
              <c:showPercent val="1"/>
              <c:showBubbleSize val="0"/>
              <c:extLst>
                <c:ext xmlns:c15="http://schemas.microsoft.com/office/drawing/2012/chart" uri="{CE6537A1-D6FC-4f65-9D91-7224C49458BB}">
                  <c15:layout>
                    <c:manualLayout>
                      <c:w val="0.2374549957294472"/>
                      <c:h val="0.17613091610806419"/>
                    </c:manualLayout>
                  </c15:layout>
                </c:ext>
                <c:ext xmlns:c16="http://schemas.microsoft.com/office/drawing/2014/chart" uri="{C3380CC4-5D6E-409C-BE32-E72D297353CC}">
                  <c16:uniqueId val="{00000001-E304-4F78-AC41-C56BA85B3394}"/>
                </c:ext>
              </c:extLst>
            </c:dLbl>
            <c:dLbl>
              <c:idx val="1"/>
              <c:layout>
                <c:manualLayout>
                  <c:x val="-0.11024305555555557"/>
                  <c:y val="-9.6739792809262704E-2"/>
                </c:manualLayout>
              </c:layout>
              <c:showLegendKey val="0"/>
              <c:showVal val="1"/>
              <c:showCatName val="0"/>
              <c:showSerName val="0"/>
              <c:showPercent val="1"/>
              <c:showBubbleSize val="0"/>
              <c:extLst>
                <c:ext xmlns:c15="http://schemas.microsoft.com/office/drawing/2012/chart" uri="{CE6537A1-D6FC-4f65-9D91-7224C49458BB}">
                  <c15:layout>
                    <c:manualLayout>
                      <c:w val="0.24688932291666665"/>
                      <c:h val="0.25452264879138731"/>
                    </c:manualLayout>
                  </c15:layout>
                </c:ext>
                <c:ext xmlns:c16="http://schemas.microsoft.com/office/drawing/2014/chart" uri="{C3380CC4-5D6E-409C-BE32-E72D297353CC}">
                  <c16:uniqueId val="{00000003-E304-4F78-AC41-C56BA85B339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Design'!$A$14:$A$15</c:f>
              <c:strCache>
                <c:ptCount val="2"/>
                <c:pt idx="0">
                  <c:v>Low Fat</c:v>
                </c:pt>
                <c:pt idx="1">
                  <c:v>Regular</c:v>
                </c:pt>
              </c:strCache>
            </c:strRef>
          </c:cat>
          <c:val>
            <c:numRef>
              <c:f>'Sheets Design'!$B$14:$B$15</c:f>
              <c:numCache>
                <c:formatCode>"$"0.0,"K"</c:formatCode>
                <c:ptCount val="2"/>
                <c:pt idx="0">
                  <c:v>315228.35880000028</c:v>
                </c:pt>
                <c:pt idx="1">
                  <c:v>129565.8115999999</c:v>
                </c:pt>
              </c:numCache>
            </c:numRef>
          </c:val>
          <c:extLst>
            <c:ext xmlns:c16="http://schemas.microsoft.com/office/drawing/2014/chart" uri="{C3380CC4-5D6E-409C-BE32-E72D297353CC}">
              <c16:uniqueId val="{00000004-E304-4F78-AC41-C56BA85B339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Design'!$B$19:$B$20</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Design'!$B$21:$B$23</c:f>
              <c:numCache>
                <c:formatCode>"$"0.0,"K"</c:formatCode>
                <c:ptCount val="3"/>
                <c:pt idx="0">
                  <c:v>73289.095600000044</c:v>
                </c:pt>
                <c:pt idx="1">
                  <c:v>51721.007199999993</c:v>
                </c:pt>
                <c:pt idx="2">
                  <c:v>4555.7088000000003</c:v>
                </c:pt>
              </c:numCache>
            </c:numRef>
          </c:val>
          <c:extLst>
            <c:ext xmlns:c16="http://schemas.microsoft.com/office/drawing/2014/chart" uri="{C3380CC4-5D6E-409C-BE32-E72D297353CC}">
              <c16:uniqueId val="{00000000-8A09-4201-B13E-FA036F5D5A8D}"/>
            </c:ext>
          </c:extLst>
        </c:ser>
        <c:ser>
          <c:idx val="1"/>
          <c:order val="1"/>
          <c:tx>
            <c:strRef>
              <c:f>'Sheets Design'!$C$19:$C$20</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Design'!$C$21:$C$23</c:f>
              <c:numCache>
                <c:formatCode>"$"0.0,"K"</c:formatCode>
                <c:ptCount val="3"/>
                <c:pt idx="0">
                  <c:v>132631.85659999997</c:v>
                </c:pt>
                <c:pt idx="1">
                  <c:v>178768.87860000005</c:v>
                </c:pt>
                <c:pt idx="2">
                  <c:v>3827.6235999999999</c:v>
                </c:pt>
              </c:numCache>
            </c:numRef>
          </c:val>
          <c:extLst>
            <c:ext xmlns:c16="http://schemas.microsoft.com/office/drawing/2014/chart" uri="{C3380CC4-5D6E-409C-BE32-E72D297353CC}">
              <c16:uniqueId val="{00000001-8A09-4201-B13E-FA036F5D5A8D}"/>
            </c:ext>
          </c:extLst>
        </c:ser>
        <c:dLbls>
          <c:showLegendKey val="0"/>
          <c:showVal val="0"/>
          <c:showCatName val="0"/>
          <c:showSerName val="0"/>
          <c:showPercent val="0"/>
          <c:showBubbleSize val="0"/>
        </c:dLbls>
        <c:gapWidth val="60"/>
        <c:axId val="1630854560"/>
        <c:axId val="235792992"/>
      </c:barChart>
      <c:catAx>
        <c:axId val="163085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92992"/>
        <c:crosses val="autoZero"/>
        <c:auto val="1"/>
        <c:lblAlgn val="ctr"/>
        <c:lblOffset val="100"/>
        <c:noMultiLvlLbl val="0"/>
      </c:catAx>
      <c:valAx>
        <c:axId val="235792992"/>
        <c:scaling>
          <c:orientation val="minMax"/>
        </c:scaling>
        <c:delete val="1"/>
        <c:axPos val="b"/>
        <c:numFmt formatCode="&quot;$&quot;0.0,&quot;K&quot;" sourceLinked="1"/>
        <c:majorTickMark val="none"/>
        <c:minorTickMark val="none"/>
        <c:tickLblPos val="nextTo"/>
        <c:crossAx val="1630854560"/>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Design'!$B$29</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Design'!$A$30:$A$45</c:f>
              <c:strCache>
                <c:ptCount val="16"/>
                <c:pt idx="0">
                  <c:v>Seafood</c:v>
                </c:pt>
                <c:pt idx="1">
                  <c:v>Breakfast</c:v>
                </c:pt>
                <c:pt idx="2">
                  <c:v>Starchy Foods</c:v>
                </c:pt>
                <c:pt idx="3">
                  <c:v>Others</c:v>
                </c:pt>
                <c:pt idx="4">
                  <c:v>Hard Drinks</c:v>
                </c:pt>
                <c:pt idx="5">
                  <c:v>Breads</c:v>
                </c:pt>
                <c:pt idx="6">
                  <c:v>Meat</c:v>
                </c:pt>
                <c:pt idx="7">
                  <c:v>Soft Drinks</c:v>
                </c:pt>
                <c:pt idx="8">
                  <c:v>Baking Goods</c:v>
                </c:pt>
                <c:pt idx="9">
                  <c:v>Health and Hygiene</c:v>
                </c:pt>
                <c:pt idx="10">
                  <c:v>Canned</c:v>
                </c:pt>
                <c:pt idx="11">
                  <c:v>Dairy</c:v>
                </c:pt>
                <c:pt idx="12">
                  <c:v>Frozen Foods</c:v>
                </c:pt>
                <c:pt idx="13">
                  <c:v>Household</c:v>
                </c:pt>
                <c:pt idx="14">
                  <c:v>Fruits and Vegetables</c:v>
                </c:pt>
                <c:pt idx="15">
                  <c:v>Snack Foods</c:v>
                </c:pt>
              </c:strCache>
            </c:strRef>
          </c:cat>
          <c:val>
            <c:numRef>
              <c:f>'Sheets Design'!$B$30:$B$45</c:f>
              <c:numCache>
                <c:formatCode>"$"0.0,"K"</c:formatCode>
                <c:ptCount val="16"/>
                <c:pt idx="0">
                  <c:v>3316.039400000001</c:v>
                </c:pt>
                <c:pt idx="1">
                  <c:v>4788.541400000001</c:v>
                </c:pt>
                <c:pt idx="2">
                  <c:v>7268.7753999999977</c:v>
                </c:pt>
                <c:pt idx="3">
                  <c:v>10324.573599999998</c:v>
                </c:pt>
                <c:pt idx="4">
                  <c:v>10696.120999999999</c:v>
                </c:pt>
                <c:pt idx="5">
                  <c:v>12758.775600000001</c:v>
                </c:pt>
                <c:pt idx="6">
                  <c:v>19391.761799999997</c:v>
                </c:pt>
                <c:pt idx="7">
                  <c:v>23947.831200000008</c:v>
                </c:pt>
                <c:pt idx="8">
                  <c:v>28639.718200000007</c:v>
                </c:pt>
                <c:pt idx="9">
                  <c:v>31517.808799999984</c:v>
                </c:pt>
                <c:pt idx="10">
                  <c:v>32937.534199999995</c:v>
                </c:pt>
                <c:pt idx="11">
                  <c:v>35675.990800000029</c:v>
                </c:pt>
                <c:pt idx="12">
                  <c:v>43553.017</c:v>
                </c:pt>
                <c:pt idx="13">
                  <c:v>59352.546200000019</c:v>
                </c:pt>
                <c:pt idx="14">
                  <c:v>59721.052199999984</c:v>
                </c:pt>
                <c:pt idx="15">
                  <c:v>60904.083600000042</c:v>
                </c:pt>
              </c:numCache>
            </c:numRef>
          </c:val>
          <c:extLst>
            <c:ext xmlns:c16="http://schemas.microsoft.com/office/drawing/2014/chart" uri="{C3380CC4-5D6E-409C-BE32-E72D297353CC}">
              <c16:uniqueId val="{00000000-3341-4527-930F-5048E8DC638F}"/>
            </c:ext>
          </c:extLst>
        </c:ser>
        <c:dLbls>
          <c:dLblPos val="outEnd"/>
          <c:showLegendKey val="0"/>
          <c:showVal val="1"/>
          <c:showCatName val="0"/>
          <c:showSerName val="0"/>
          <c:showPercent val="0"/>
          <c:showBubbleSize val="0"/>
        </c:dLbls>
        <c:gapWidth val="50"/>
        <c:axId val="538848096"/>
        <c:axId val="538851936"/>
      </c:barChart>
      <c:catAx>
        <c:axId val="53884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Variable Text Semibold" pitchFamily="2" charset="0"/>
                <a:ea typeface="+mn-ea"/>
                <a:cs typeface="+mn-cs"/>
              </a:defRPr>
            </a:pPr>
            <a:endParaRPr lang="en-US"/>
          </a:p>
        </c:txPr>
        <c:crossAx val="538851936"/>
        <c:crosses val="autoZero"/>
        <c:auto val="1"/>
        <c:lblAlgn val="ctr"/>
        <c:lblOffset val="100"/>
        <c:noMultiLvlLbl val="0"/>
      </c:catAx>
      <c:valAx>
        <c:axId val="538851936"/>
        <c:scaling>
          <c:orientation val="minMax"/>
        </c:scaling>
        <c:delete val="1"/>
        <c:axPos val="b"/>
        <c:numFmt formatCode="&quot;$&quot;0.0,&quot;K&quot;" sourceLinked="1"/>
        <c:majorTickMark val="none"/>
        <c:minorTickMark val="none"/>
        <c:tickLblPos val="nextTo"/>
        <c:crossAx val="53884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8287868122343684E-5"/>
              <c:y val="-0.26458192195396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4439178581888762E-3"/>
              <c:y val="-0.269949296622118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4439178581888762E-3"/>
              <c:y val="-0.311479957640905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80697726005551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4439178581888311E-3"/>
              <c:y val="-0.269949296622118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687107345858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8878357163777524E-3"/>
              <c:y val="-0.25610574294918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893336816464422E-3"/>
              <c:y val="-0.36285518676449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3400052246966321E-3"/>
              <c:y val="-0.30808459253588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Design'!$B$50</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7-6342-4711-879D-35E1D9762A84}"/>
              </c:ext>
            </c:extLst>
          </c:dPt>
          <c:dPt>
            <c:idx val="1"/>
            <c:bubble3D val="0"/>
            <c:extLst>
              <c:ext xmlns:c16="http://schemas.microsoft.com/office/drawing/2014/chart" uri="{C3380CC4-5D6E-409C-BE32-E72D297353CC}">
                <c16:uniqueId val="{00000006-6342-4711-879D-35E1D9762A84}"/>
              </c:ext>
            </c:extLst>
          </c:dPt>
          <c:dPt>
            <c:idx val="2"/>
            <c:bubble3D val="0"/>
            <c:extLst>
              <c:ext xmlns:c16="http://schemas.microsoft.com/office/drawing/2014/chart" uri="{C3380CC4-5D6E-409C-BE32-E72D297353CC}">
                <c16:uniqueId val="{00000005-6342-4711-879D-35E1D9762A84}"/>
              </c:ext>
            </c:extLst>
          </c:dPt>
          <c:dLbls>
            <c:dLbl>
              <c:idx val="0"/>
              <c:layout>
                <c:manualLayout>
                  <c:x val="0"/>
                  <c:y val="-0.27687107345858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2-4711-879D-35E1D9762A84}"/>
                </c:ext>
              </c:extLst>
            </c:dLbl>
            <c:dLbl>
              <c:idx val="1"/>
              <c:layout>
                <c:manualLayout>
                  <c:x val="2.4439178581888762E-3"/>
                  <c:y val="-0.269949296622118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2-4711-879D-35E1D9762A84}"/>
                </c:ext>
              </c:extLst>
            </c:dLbl>
            <c:dLbl>
              <c:idx val="2"/>
              <c:layout>
                <c:manualLayout>
                  <c:x val="0"/>
                  <c:y val="-0.380697726005551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2-4711-879D-35E1D9762A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Design'!$A$51:$A$54</c:f>
              <c:strCache>
                <c:ptCount val="3"/>
                <c:pt idx="0">
                  <c:v>2012</c:v>
                </c:pt>
                <c:pt idx="1">
                  <c:v>2016</c:v>
                </c:pt>
                <c:pt idx="2">
                  <c:v>2018</c:v>
                </c:pt>
              </c:strCache>
            </c:strRef>
          </c:cat>
          <c:val>
            <c:numRef>
              <c:f>'Sheets Design'!$B$51:$B$54</c:f>
              <c:numCache>
                <c:formatCode>"$"0.0,"K"</c:formatCode>
                <c:ptCount val="3"/>
                <c:pt idx="0">
                  <c:v>130476.85980000001</c:v>
                </c:pt>
                <c:pt idx="1">
                  <c:v>132113.36979999999</c:v>
                </c:pt>
                <c:pt idx="2">
                  <c:v>73807.582399999956</c:v>
                </c:pt>
              </c:numCache>
            </c:numRef>
          </c:val>
          <c:extLst>
            <c:ext xmlns:c16="http://schemas.microsoft.com/office/drawing/2014/chart" uri="{C3380CC4-5D6E-409C-BE32-E72D297353CC}">
              <c16:uniqueId val="{00000000-6342-4711-879D-35E1D9762A8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47465104"/>
        <c:axId val="447468944"/>
      </c:areaChart>
      <c:catAx>
        <c:axId val="4474651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447468944"/>
        <c:crosses val="autoZero"/>
        <c:auto val="1"/>
        <c:lblAlgn val="ctr"/>
        <c:lblOffset val="100"/>
        <c:noMultiLvlLbl val="0"/>
      </c:catAx>
      <c:valAx>
        <c:axId val="447468944"/>
        <c:scaling>
          <c:orientation val="minMax"/>
        </c:scaling>
        <c:delete val="1"/>
        <c:axPos val="l"/>
        <c:numFmt formatCode="&quot;$&quot;0.0,&quot;K&quot;" sourceLinked="1"/>
        <c:majorTickMark val="out"/>
        <c:minorTickMark val="none"/>
        <c:tickLblPos val="nextTo"/>
        <c:crossAx val="4474651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3134708418956412"/>
              <c:y val="-4.4932439604028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6088075451163623"/>
              <c:y val="-1.176788395269355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1321220911078847"/>
              <c:y val="-0.1283783988686527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594703473423182"/>
                  <c:h val="0.16679588744348064"/>
                </c:manualLayout>
              </c15:layout>
            </c:ext>
          </c:extLst>
        </c:dLbl>
      </c:pivotFmt>
    </c:pivotFmts>
    <c:plotArea>
      <c:layout>
        <c:manualLayout>
          <c:layoutTarget val="inner"/>
          <c:xMode val="edge"/>
          <c:yMode val="edge"/>
          <c:x val="0.15024150170574385"/>
          <c:y val="0.14169942674496061"/>
          <c:w val="0.65286736281377589"/>
          <c:h val="0.85137471026410572"/>
        </c:manualLayout>
      </c:layout>
      <c:doughnutChart>
        <c:varyColors val="1"/>
        <c:ser>
          <c:idx val="0"/>
          <c:order val="0"/>
          <c:tx>
            <c:strRef>
              <c:f>'Sheets Design'!$B$64</c:f>
              <c:strCache>
                <c:ptCount val="1"/>
                <c:pt idx="0">
                  <c:v>Total</c:v>
                </c:pt>
              </c:strCache>
            </c:strRef>
          </c:tx>
          <c:spPr>
            <a:solidFill>
              <a:srgbClr val="FFD2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C0F-4FBD-AA4F-720E1BEA569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C0F-4FBD-AA4F-720E1BEA5695}"/>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2C0F-4FBD-AA4F-720E1BEA5695}"/>
              </c:ext>
            </c:extLst>
          </c:dPt>
          <c:dLbls>
            <c:dLbl>
              <c:idx val="0"/>
              <c:layout>
                <c:manualLayout>
                  <c:x val="0.23134708418956412"/>
                  <c:y val="-4.49324396040284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0F-4FBD-AA4F-720E1BEA5695}"/>
                </c:ext>
              </c:extLst>
            </c:dLbl>
            <c:dLbl>
              <c:idx val="1"/>
              <c:layout>
                <c:manualLayout>
                  <c:x val="0.26088075451163623"/>
                  <c:y val="-1.1767883952693553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0F-4FBD-AA4F-720E1BEA5695}"/>
                </c:ext>
              </c:extLst>
            </c:dLbl>
            <c:dLbl>
              <c:idx val="2"/>
              <c:layout>
                <c:manualLayout>
                  <c:x val="-0.11321220911078847"/>
                  <c:y val="-0.1283783988686527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594703473423182"/>
                      <c:h val="0.16679588744348064"/>
                    </c:manualLayout>
                  </c15:layout>
                </c:ext>
                <c:ext xmlns:c16="http://schemas.microsoft.com/office/drawing/2014/chart" uri="{C3380CC4-5D6E-409C-BE32-E72D297353CC}">
                  <c16:uniqueId val="{00000005-2C0F-4FBD-AA4F-720E1BEA56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Design'!$A$65:$A$68</c:f>
              <c:strCache>
                <c:ptCount val="3"/>
                <c:pt idx="0">
                  <c:v>High</c:v>
                </c:pt>
                <c:pt idx="1">
                  <c:v>Medium</c:v>
                </c:pt>
                <c:pt idx="2">
                  <c:v>Small</c:v>
                </c:pt>
              </c:strCache>
            </c:strRef>
          </c:cat>
          <c:val>
            <c:numRef>
              <c:f>'Sheets Design'!$B$65:$B$68</c:f>
              <c:numCache>
                <c:formatCode>"$"0.0,"K"</c:formatCode>
                <c:ptCount val="3"/>
                <c:pt idx="0">
                  <c:v>21092.504599999993</c:v>
                </c:pt>
                <c:pt idx="1">
                  <c:v>44507.966199999995</c:v>
                </c:pt>
                <c:pt idx="2">
                  <c:v>35675.990800000021</c:v>
                </c:pt>
              </c:numCache>
            </c:numRef>
          </c:val>
          <c:extLst>
            <c:ext xmlns:c16="http://schemas.microsoft.com/office/drawing/2014/chart" uri="{C3380CC4-5D6E-409C-BE32-E72D297353CC}">
              <c16:uniqueId val="{00000006-2C0F-4FBD-AA4F-720E1BEA569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Design!PivotTable13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alpha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chemeClr val="accent4">
                <a:lumMod val="60000"/>
                <a:lumOff val="40000"/>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Design'!$A$89:$A$92</c:f>
              <c:strCache>
                <c:ptCount val="4"/>
                <c:pt idx="0">
                  <c:v>Grocery Store</c:v>
                </c:pt>
                <c:pt idx="1">
                  <c:v>Supermarket Type1</c:v>
                </c:pt>
                <c:pt idx="2">
                  <c:v>Supermarket Type2</c:v>
                </c:pt>
                <c:pt idx="3">
                  <c:v>Supermarket Type3</c:v>
                </c:pt>
              </c:strCache>
            </c:strRef>
          </c:cat>
          <c:val>
            <c:numRef>
              <c:f>'Sheets Design'!$B$89:$B$92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A516-4A17-BB02-E590D6FE9DC7}"/>
            </c:ext>
          </c:extLst>
        </c:ser>
        <c:dLbls>
          <c:showLegendKey val="0"/>
          <c:showVal val="0"/>
          <c:showCatName val="0"/>
          <c:showSerName val="0"/>
          <c:showPercent val="0"/>
          <c:showBubbleSize val="0"/>
        </c:dLbls>
        <c:gapWidth val="60"/>
        <c:axId val="447580672"/>
        <c:axId val="670385919"/>
      </c:barChart>
      <c:catAx>
        <c:axId val="44758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85919"/>
        <c:crosses val="autoZero"/>
        <c:auto val="1"/>
        <c:lblAlgn val="ctr"/>
        <c:lblOffset val="100"/>
        <c:noMultiLvlLbl val="0"/>
      </c:catAx>
      <c:valAx>
        <c:axId val="670385919"/>
        <c:scaling>
          <c:orientation val="minMax"/>
        </c:scaling>
        <c:delete val="1"/>
        <c:axPos val="b"/>
        <c:numFmt formatCode="&quot;$&quot;0.0,&quot;K&quot;" sourceLinked="1"/>
        <c:majorTickMark val="none"/>
        <c:minorTickMark val="none"/>
        <c:tickLblPos val="nextTo"/>
        <c:crossAx val="44758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Design!PivotTable14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Design'!$A$106:$A$109</c:f>
              <c:strCache>
                <c:ptCount val="4"/>
                <c:pt idx="0">
                  <c:v>Grocery Store</c:v>
                </c:pt>
                <c:pt idx="1">
                  <c:v>Supermarket Type1</c:v>
                </c:pt>
                <c:pt idx="2">
                  <c:v>Supermarket Type2</c:v>
                </c:pt>
                <c:pt idx="3">
                  <c:v>Supermarket Type3</c:v>
                </c:pt>
              </c:strCache>
            </c:strRef>
          </c:cat>
          <c:val>
            <c:numRef>
              <c:f>'Sheets Design'!$B$106:$B$109</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C478-4DE6-AA25-E5B3A6B65FFB}"/>
            </c:ext>
          </c:extLst>
        </c:ser>
        <c:dLbls>
          <c:showLegendKey val="0"/>
          <c:showVal val="0"/>
          <c:showCatName val="0"/>
          <c:showSerName val="0"/>
          <c:showPercent val="0"/>
          <c:showBubbleSize val="0"/>
        </c:dLbls>
        <c:gapWidth val="60"/>
        <c:axId val="543834976"/>
        <c:axId val="543825856"/>
      </c:barChart>
      <c:catAx>
        <c:axId val="54383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25856"/>
        <c:crosses val="autoZero"/>
        <c:auto val="1"/>
        <c:lblAlgn val="ctr"/>
        <c:lblOffset val="100"/>
        <c:noMultiLvlLbl val="0"/>
      </c:catAx>
      <c:valAx>
        <c:axId val="543825856"/>
        <c:scaling>
          <c:orientation val="minMax"/>
        </c:scaling>
        <c:delete val="1"/>
        <c:axPos val="b"/>
        <c:numFmt formatCode="&quot;$&quot;0" sourceLinked="1"/>
        <c:majorTickMark val="none"/>
        <c:minorTickMark val="none"/>
        <c:tickLblPos val="nextTo"/>
        <c:crossAx val="5438349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[BlinkIT.xlsb.xlsx]Sheets Design!PivotTable15</c:name>
    <c:fmtId val="27"/>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Design'!$A$122:$A$125</c:f>
              <c:strCache>
                <c:ptCount val="4"/>
                <c:pt idx="0">
                  <c:v>Grocery Store</c:v>
                </c:pt>
                <c:pt idx="1">
                  <c:v>Supermarket Type1</c:v>
                </c:pt>
                <c:pt idx="2">
                  <c:v>Supermarket Type2</c:v>
                </c:pt>
                <c:pt idx="3">
                  <c:v>Supermarket Type3</c:v>
                </c:pt>
              </c:strCache>
            </c:strRef>
          </c:cat>
          <c:val>
            <c:numRef>
              <c:f>'Sheets Design'!$B$122:$B$125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BFEE-47F4-97BC-02F244765760}"/>
            </c:ext>
          </c:extLst>
        </c:ser>
        <c:dLbls>
          <c:dLblPos val="outEnd"/>
          <c:showLegendKey val="0"/>
          <c:showVal val="1"/>
          <c:showCatName val="0"/>
          <c:showSerName val="0"/>
          <c:showPercent val="0"/>
          <c:showBubbleSize val="0"/>
        </c:dLbls>
        <c:gapWidth val="60"/>
        <c:axId val="767333135"/>
        <c:axId val="767323535"/>
      </c:barChart>
      <c:catAx>
        <c:axId val="7673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23535"/>
        <c:crosses val="autoZero"/>
        <c:auto val="1"/>
        <c:lblAlgn val="ctr"/>
        <c:lblOffset val="100"/>
        <c:noMultiLvlLbl val="0"/>
      </c:catAx>
      <c:valAx>
        <c:axId val="767323535"/>
        <c:scaling>
          <c:orientation val="minMax"/>
        </c:scaling>
        <c:delete val="1"/>
        <c:axPos val="b"/>
        <c:numFmt formatCode="&quot;$&quot;0" sourceLinked="1"/>
        <c:majorTickMark val="none"/>
        <c:minorTickMark val="none"/>
        <c:tickLblPos val="nextTo"/>
        <c:crossAx val="76733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5F2E84E-6939-4630-9ED1-9DD923AC6192}">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5F2E84E-6939-4630-9ED1-9DD923AC6192}">
          <cx:spPr>
            <a:solidFill>
              <a:srgbClr val="FFD200"/>
            </a:solidFill>
          </cx:spPr>
          <cx:dataPt idx="1">
            <cx:spPr>
              <a:solidFill>
                <a:srgbClr val="70AD47">
                  <a:lumMod val="75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image" Target="../media/image3.png"/><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hyperlink" Target="#'BlinkIT Grocery Data'!A1"/><Relationship Id="rId1" Type="http://schemas.openxmlformats.org/officeDocument/2006/relationships/chart" Target="../charts/chart9.xml"/><Relationship Id="rId6" Type="http://schemas.openxmlformats.org/officeDocument/2006/relationships/image" Target="../media/image2.png"/><Relationship Id="rId11" Type="http://schemas.openxmlformats.org/officeDocument/2006/relationships/chart" Target="../charts/chart14.xml"/><Relationship Id="rId5" Type="http://schemas.openxmlformats.org/officeDocument/2006/relationships/image" Target="../media/image1.png"/><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chart" Target="../charts/chart12.xml"/><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7</xdr:col>
      <xdr:colOff>104111</xdr:colOff>
      <xdr:row>0</xdr:row>
      <xdr:rowOff>78769</xdr:rowOff>
    </xdr:from>
    <xdr:to>
      <xdr:col>9</xdr:col>
      <xdr:colOff>597270</xdr:colOff>
      <xdr:row>13</xdr:row>
      <xdr:rowOff>154434</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ACD9033-5EBD-AE33-FEA5-6E84B27051C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84336" y="7876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8561</xdr:colOff>
      <xdr:row>11</xdr:row>
      <xdr:rowOff>11131</xdr:rowOff>
    </xdr:from>
    <xdr:to>
      <xdr:col>6</xdr:col>
      <xdr:colOff>582202</xdr:colOff>
      <xdr:row>17</xdr:row>
      <xdr:rowOff>196923</xdr:rowOff>
    </xdr:to>
    <xdr:graphicFrame macro="">
      <xdr:nvGraphicFramePr>
        <xdr:cNvPr id="3" name="Chart 2">
          <a:extLst>
            <a:ext uri="{FF2B5EF4-FFF2-40B4-BE49-F238E27FC236}">
              <a16:creationId xmlns:a16="http://schemas.microsoft.com/office/drawing/2014/main" id="{4DA17CFF-749A-0471-14A4-C0F255EA2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8562</xdr:colOff>
      <xdr:row>17</xdr:row>
      <xdr:rowOff>199490</xdr:rowOff>
    </xdr:from>
    <xdr:to>
      <xdr:col>6</xdr:col>
      <xdr:colOff>590765</xdr:colOff>
      <xdr:row>24</xdr:row>
      <xdr:rowOff>25686</xdr:rowOff>
    </xdr:to>
    <xdr:graphicFrame macro="">
      <xdr:nvGraphicFramePr>
        <xdr:cNvPr id="4" name="Chart 3">
          <a:extLst>
            <a:ext uri="{FF2B5EF4-FFF2-40B4-BE49-F238E27FC236}">
              <a16:creationId xmlns:a16="http://schemas.microsoft.com/office/drawing/2014/main" id="{43857702-66B4-7510-6787-796F5EE82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488022</xdr:colOff>
      <xdr:row>28</xdr:row>
      <xdr:rowOff>19692</xdr:rowOff>
    </xdr:from>
    <xdr:to>
      <xdr:col>10</xdr:col>
      <xdr:colOff>222606</xdr:colOff>
      <xdr:row>41</xdr:row>
      <xdr:rowOff>194353</xdr:rowOff>
    </xdr:to>
    <xdr:graphicFrame macro="">
      <xdr:nvGraphicFramePr>
        <xdr:cNvPr id="5" name="Chart 4">
          <a:extLst>
            <a:ext uri="{FF2B5EF4-FFF2-40B4-BE49-F238E27FC236}">
              <a16:creationId xmlns:a16="http://schemas.microsoft.com/office/drawing/2014/main" id="{E2953487-35DF-1263-5DCA-7BC5E4297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1113033</xdr:colOff>
      <xdr:row>44</xdr:row>
      <xdr:rowOff>122434</xdr:rowOff>
    </xdr:from>
    <xdr:to>
      <xdr:col>10</xdr:col>
      <xdr:colOff>445213</xdr:colOff>
      <xdr:row>58</xdr:row>
      <xdr:rowOff>100173</xdr:rowOff>
    </xdr:to>
    <xdr:graphicFrame macro="">
      <xdr:nvGraphicFramePr>
        <xdr:cNvPr id="6" name="Chart 5">
          <a:extLst>
            <a:ext uri="{FF2B5EF4-FFF2-40B4-BE49-F238E27FC236}">
              <a16:creationId xmlns:a16="http://schemas.microsoft.com/office/drawing/2014/main" id="{02A906FE-DE45-028F-AE0A-84AFCEB56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1121595</xdr:colOff>
      <xdr:row>54</xdr:row>
      <xdr:rowOff>165242</xdr:rowOff>
    </xdr:from>
    <xdr:to>
      <xdr:col>10</xdr:col>
      <xdr:colOff>453775</xdr:colOff>
      <xdr:row>68</xdr:row>
      <xdr:rowOff>151543</xdr:rowOff>
    </xdr:to>
    <xdr:graphicFrame macro="">
      <xdr:nvGraphicFramePr>
        <xdr:cNvPr id="7" name="Chart 6">
          <a:extLst>
            <a:ext uri="{FF2B5EF4-FFF2-40B4-BE49-F238E27FC236}">
              <a16:creationId xmlns:a16="http://schemas.microsoft.com/office/drawing/2014/main" id="{95871112-FD20-3F4B-FF29-D4822E74F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351034</xdr:colOff>
      <xdr:row>70</xdr:row>
      <xdr:rowOff>28255</xdr:rowOff>
    </xdr:from>
    <xdr:to>
      <xdr:col>12</xdr:col>
      <xdr:colOff>248292</xdr:colOff>
      <xdr:row>84</xdr:row>
      <xdr:rowOff>14556</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036ABF1-909E-6F56-6A20-F1605B004D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89734" y="14010955"/>
              <a:ext cx="4591178" cy="27599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787685</xdr:colOff>
      <xdr:row>87</xdr:row>
      <xdr:rowOff>122434</xdr:rowOff>
    </xdr:from>
    <xdr:to>
      <xdr:col>10</xdr:col>
      <xdr:colOff>119865</xdr:colOff>
      <xdr:row>101</xdr:row>
      <xdr:rowOff>108735</xdr:rowOff>
    </xdr:to>
    <xdr:graphicFrame macro="">
      <xdr:nvGraphicFramePr>
        <xdr:cNvPr id="10" name="Chart 9">
          <a:extLst>
            <a:ext uri="{FF2B5EF4-FFF2-40B4-BE49-F238E27FC236}">
              <a16:creationId xmlns:a16="http://schemas.microsoft.com/office/drawing/2014/main" id="{C2877372-9A86-3244-3AB7-2AA3873B1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539393</xdr:colOff>
      <xdr:row>102</xdr:row>
      <xdr:rowOff>148120</xdr:rowOff>
    </xdr:from>
    <xdr:to>
      <xdr:col>9</xdr:col>
      <xdr:colOff>539393</xdr:colOff>
      <xdr:row>116</xdr:row>
      <xdr:rowOff>134421</xdr:rowOff>
    </xdr:to>
    <xdr:graphicFrame macro="">
      <xdr:nvGraphicFramePr>
        <xdr:cNvPr id="11" name="Chart 10">
          <a:extLst>
            <a:ext uri="{FF2B5EF4-FFF2-40B4-BE49-F238E27FC236}">
              <a16:creationId xmlns:a16="http://schemas.microsoft.com/office/drawing/2014/main" id="{A57F8A0B-5469-5609-8465-F8CCEDE37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496585</xdr:colOff>
      <xdr:row>118</xdr:row>
      <xdr:rowOff>2569</xdr:rowOff>
    </xdr:from>
    <xdr:to>
      <xdr:col>9</xdr:col>
      <xdr:colOff>496585</xdr:colOff>
      <xdr:row>131</xdr:row>
      <xdr:rowOff>185791</xdr:rowOff>
    </xdr:to>
    <xdr:graphicFrame macro="">
      <xdr:nvGraphicFramePr>
        <xdr:cNvPr id="12" name="Chart 11">
          <a:extLst>
            <a:ext uri="{FF2B5EF4-FFF2-40B4-BE49-F238E27FC236}">
              <a16:creationId xmlns:a16="http://schemas.microsoft.com/office/drawing/2014/main" id="{622DBB1A-9021-9930-6ED3-AC8716427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453752</xdr:colOff>
      <xdr:row>0</xdr:row>
      <xdr:rowOff>183387</xdr:rowOff>
    </xdr:from>
    <xdr:to>
      <xdr:col>21</xdr:col>
      <xdr:colOff>439967</xdr:colOff>
      <xdr:row>38</xdr:row>
      <xdr:rowOff>148981</xdr:rowOff>
    </xdr:to>
    <xdr:sp macro="" textlink="">
      <xdr:nvSpPr>
        <xdr:cNvPr id="2" name="Rectangle 1">
          <a:extLst>
            <a:ext uri="{FF2B5EF4-FFF2-40B4-BE49-F238E27FC236}">
              <a16:creationId xmlns:a16="http://schemas.microsoft.com/office/drawing/2014/main" id="{A1B160D0-A4C8-EF0E-A1B0-0A77180DD9E5}"/>
            </a:ext>
          </a:extLst>
        </xdr:cNvPr>
        <xdr:cNvSpPr/>
      </xdr:nvSpPr>
      <xdr:spPr>
        <a:xfrm>
          <a:off x="453752" y="183387"/>
          <a:ext cx="14083215" cy="7549308"/>
        </a:xfrm>
        <a:prstGeom prst="rect">
          <a:avLst/>
        </a:prstGeom>
        <a:solidFill>
          <a:sysClr val="window" lastClr="FFFFFF"/>
        </a:solidFill>
        <a:ln>
          <a:solidFill>
            <a:schemeClr val="bg1">
              <a:lumMod val="65000"/>
            </a:schemeClr>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133597</xdr:colOff>
      <xdr:row>1</xdr:row>
      <xdr:rowOff>79170</xdr:rowOff>
    </xdr:from>
    <xdr:to>
      <xdr:col>4</xdr:col>
      <xdr:colOff>148442</xdr:colOff>
      <xdr:row>37</xdr:row>
      <xdr:rowOff>89065</xdr:rowOff>
    </xdr:to>
    <xdr:sp macro="" textlink="">
      <xdr:nvSpPr>
        <xdr:cNvPr id="4" name="Rectangle: Top Corners Rounded 3">
          <a:extLst>
            <a:ext uri="{FF2B5EF4-FFF2-40B4-BE49-F238E27FC236}">
              <a16:creationId xmlns:a16="http://schemas.microsoft.com/office/drawing/2014/main" id="{03AF9215-EFBC-9D9F-F371-146BA823A004}"/>
            </a:ext>
          </a:extLst>
        </xdr:cNvPr>
        <xdr:cNvSpPr/>
      </xdr:nvSpPr>
      <xdr:spPr>
        <a:xfrm rot="5400000">
          <a:off x="-1677703" y="2749061"/>
          <a:ext cx="6964487" cy="2011071"/>
        </a:xfrm>
        <a:prstGeom prst="round2SameRect">
          <a:avLst/>
        </a:prstGeom>
        <a:solidFill>
          <a:srgbClr val="FFD200"/>
        </a:solidFill>
        <a:ln>
          <a:solidFill>
            <a:srgbClr val="FFD2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168234</xdr:colOff>
      <xdr:row>1</xdr:row>
      <xdr:rowOff>89065</xdr:rowOff>
    </xdr:from>
    <xdr:to>
      <xdr:col>4</xdr:col>
      <xdr:colOff>98961</xdr:colOff>
      <xdr:row>5</xdr:row>
      <xdr:rowOff>19793</xdr:rowOff>
    </xdr:to>
    <xdr:sp macro="" textlink="">
      <xdr:nvSpPr>
        <xdr:cNvPr id="5" name="TextBox 4">
          <a:extLst>
            <a:ext uri="{FF2B5EF4-FFF2-40B4-BE49-F238E27FC236}">
              <a16:creationId xmlns:a16="http://schemas.microsoft.com/office/drawing/2014/main" id="{43E3191C-A3D3-F6CB-5A24-B3BF6F715CA6}"/>
            </a:ext>
          </a:extLst>
        </xdr:cNvPr>
        <xdr:cNvSpPr txBox="1"/>
      </xdr:nvSpPr>
      <xdr:spPr>
        <a:xfrm>
          <a:off x="841169" y="286987"/>
          <a:ext cx="1949532" cy="72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168234</xdr:colOff>
      <xdr:row>4</xdr:row>
      <xdr:rowOff>102030</xdr:rowOff>
    </xdr:from>
    <xdr:to>
      <xdr:col>4</xdr:col>
      <xdr:colOff>98961</xdr:colOff>
      <xdr:row>5</xdr:row>
      <xdr:rowOff>188026</xdr:rowOff>
    </xdr:to>
    <xdr:sp macro="" textlink="">
      <xdr:nvSpPr>
        <xdr:cNvPr id="6" name="TextBox 5">
          <a:extLst>
            <a:ext uri="{FF2B5EF4-FFF2-40B4-BE49-F238E27FC236}">
              <a16:creationId xmlns:a16="http://schemas.microsoft.com/office/drawing/2014/main" id="{CFE82E54-A560-44EF-91F5-3FF8EB524DE2}"/>
            </a:ext>
          </a:extLst>
        </xdr:cNvPr>
        <xdr:cNvSpPr txBox="1"/>
      </xdr:nvSpPr>
      <xdr:spPr>
        <a:xfrm>
          <a:off x="841169" y="893718"/>
          <a:ext cx="1949532" cy="28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356260</xdr:colOff>
      <xdr:row>1</xdr:row>
      <xdr:rowOff>79170</xdr:rowOff>
    </xdr:from>
    <xdr:to>
      <xdr:col>8</xdr:col>
      <xdr:colOff>400519</xdr:colOff>
      <xdr:row>6</xdr:row>
      <xdr:rowOff>137160</xdr:rowOff>
    </xdr:to>
    <xdr:sp macro="" textlink="">
      <xdr:nvSpPr>
        <xdr:cNvPr id="7" name="Rectangle: Rounded Corners 6">
          <a:extLst>
            <a:ext uri="{FF2B5EF4-FFF2-40B4-BE49-F238E27FC236}">
              <a16:creationId xmlns:a16="http://schemas.microsoft.com/office/drawing/2014/main" id="{126DA1FD-DE86-16A2-22B5-53C018F4E88A}"/>
            </a:ext>
          </a:extLst>
        </xdr:cNvPr>
        <xdr:cNvSpPr/>
      </xdr:nvSpPr>
      <xdr:spPr>
        <a:xfrm>
          <a:off x="3017894" y="272353"/>
          <a:ext cx="2705893" cy="1023906"/>
        </a:xfrm>
        <a:prstGeom prst="roundRect">
          <a:avLst/>
        </a:prstGeom>
        <a:gradFill flip="none" rotWithShape="1">
          <a:gsLst>
            <a:gs pos="0">
              <a:srgbClr val="FFD200">
                <a:alpha val="50000"/>
              </a:srgbClr>
            </a:gs>
            <a:gs pos="74000">
              <a:schemeClr val="accent6">
                <a:lumMod val="60000"/>
                <a:lumOff val="40000"/>
              </a:schemeClr>
            </a:gs>
            <a:gs pos="100000">
              <a:schemeClr val="accent6">
                <a:lumMod val="7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Black" panose="020B0A02040204020203" pitchFamily="34" charset="0"/>
            <a:ea typeface="Segoe UI Black" panose="020B0A02040204020203" pitchFamily="34" charset="0"/>
          </a:endParaRPr>
        </a:p>
      </xdr:txBody>
    </xdr:sp>
    <xdr:clientData/>
  </xdr:twoCellAnchor>
  <xdr:twoCellAnchor>
    <xdr:from>
      <xdr:col>8</xdr:col>
      <xdr:colOff>558084</xdr:colOff>
      <xdr:row>1</xdr:row>
      <xdr:rowOff>79170</xdr:rowOff>
    </xdr:from>
    <xdr:to>
      <xdr:col>12</xdr:col>
      <xdr:colOff>602344</xdr:colOff>
      <xdr:row>6</xdr:row>
      <xdr:rowOff>137160</xdr:rowOff>
    </xdr:to>
    <xdr:sp macro="" textlink="">
      <xdr:nvSpPr>
        <xdr:cNvPr id="8" name="Rectangle: Rounded Corners 7">
          <a:extLst>
            <a:ext uri="{FF2B5EF4-FFF2-40B4-BE49-F238E27FC236}">
              <a16:creationId xmlns:a16="http://schemas.microsoft.com/office/drawing/2014/main" id="{AAF15680-8C5B-4B1A-94C0-0A11ECF0F0AC}"/>
            </a:ext>
          </a:extLst>
        </xdr:cNvPr>
        <xdr:cNvSpPr/>
      </xdr:nvSpPr>
      <xdr:spPr>
        <a:xfrm>
          <a:off x="5881352" y="272353"/>
          <a:ext cx="2705893" cy="102390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558084</xdr:colOff>
      <xdr:row>7</xdr:row>
      <xdr:rowOff>114906</xdr:rowOff>
    </xdr:from>
    <xdr:to>
      <xdr:col>12</xdr:col>
      <xdr:colOff>602344</xdr:colOff>
      <xdr:row>12</xdr:row>
      <xdr:rowOff>172897</xdr:rowOff>
    </xdr:to>
    <xdr:sp macro="" textlink="">
      <xdr:nvSpPr>
        <xdr:cNvPr id="9" name="Rectangle: Rounded Corners 8">
          <a:extLst>
            <a:ext uri="{FF2B5EF4-FFF2-40B4-BE49-F238E27FC236}">
              <a16:creationId xmlns:a16="http://schemas.microsoft.com/office/drawing/2014/main" id="{801DA545-79D3-4C78-B355-B71458FC132E}"/>
            </a:ext>
          </a:extLst>
        </xdr:cNvPr>
        <xdr:cNvSpPr/>
      </xdr:nvSpPr>
      <xdr:spPr>
        <a:xfrm>
          <a:off x="5881352" y="1467188"/>
          <a:ext cx="2705893" cy="102390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356260</xdr:colOff>
      <xdr:row>7</xdr:row>
      <xdr:rowOff>114906</xdr:rowOff>
    </xdr:from>
    <xdr:to>
      <xdr:col>8</xdr:col>
      <xdr:colOff>400519</xdr:colOff>
      <xdr:row>12</xdr:row>
      <xdr:rowOff>172897</xdr:rowOff>
    </xdr:to>
    <xdr:sp macro="" textlink="">
      <xdr:nvSpPr>
        <xdr:cNvPr id="10" name="Rectangle: Rounded Corners 9">
          <a:extLst>
            <a:ext uri="{FF2B5EF4-FFF2-40B4-BE49-F238E27FC236}">
              <a16:creationId xmlns:a16="http://schemas.microsoft.com/office/drawing/2014/main" id="{570E4005-A9D3-4171-9FF3-F3C236B2A83D}"/>
            </a:ext>
          </a:extLst>
        </xdr:cNvPr>
        <xdr:cNvSpPr/>
      </xdr:nvSpPr>
      <xdr:spPr>
        <a:xfrm>
          <a:off x="3017894" y="1467188"/>
          <a:ext cx="2705893" cy="102390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53661</xdr:colOff>
      <xdr:row>1</xdr:row>
      <xdr:rowOff>184597</xdr:rowOff>
    </xdr:from>
    <xdr:to>
      <xdr:col>7</xdr:col>
      <xdr:colOff>193182</xdr:colOff>
      <xdr:row>4</xdr:row>
      <xdr:rowOff>109470</xdr:rowOff>
    </xdr:to>
    <xdr:sp macro="" textlink="'Sheets Design'!A9">
      <xdr:nvSpPr>
        <xdr:cNvPr id="11" name="TextBox 10">
          <a:extLst>
            <a:ext uri="{FF2B5EF4-FFF2-40B4-BE49-F238E27FC236}">
              <a16:creationId xmlns:a16="http://schemas.microsoft.com/office/drawing/2014/main" id="{3F460447-6911-7B2B-370C-F460A7D51EBF}"/>
            </a:ext>
          </a:extLst>
        </xdr:cNvPr>
        <xdr:cNvSpPr txBox="1"/>
      </xdr:nvSpPr>
      <xdr:spPr>
        <a:xfrm>
          <a:off x="3380703" y="377780"/>
          <a:ext cx="1470338"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536948-C0E0-4BFD-817F-1935D7872251}" type="TxLink">
            <a:rPr lang="en-US" sz="2500" b="1" i="0" u="none" strike="noStrike">
              <a:solidFill>
                <a:srgbClr val="000000"/>
              </a:solidFill>
              <a:latin typeface="Segoe UI Black" panose="020B0A02040204020203" pitchFamily="34" charset="0"/>
              <a:ea typeface="Segoe UI Black" panose="020B0A02040204020203" pitchFamily="34" charset="0"/>
              <a:cs typeface="Calibri"/>
            </a:rPr>
            <a:pPr/>
            <a:t>$0.4M</a:t>
          </a:fld>
          <a:endParaRPr lang="en-IN" sz="2500" b="1">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225380</xdr:colOff>
      <xdr:row>7</xdr:row>
      <xdr:rowOff>86280</xdr:rowOff>
    </xdr:from>
    <xdr:to>
      <xdr:col>4</xdr:col>
      <xdr:colOff>57954</xdr:colOff>
      <xdr:row>13</xdr:row>
      <xdr:rowOff>182452</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D93C1195-5553-4D9A-AEE1-B3465E71C23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94704" y="1455821"/>
              <a:ext cx="1840547" cy="1270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562374</xdr:colOff>
      <xdr:row>4</xdr:row>
      <xdr:rowOff>56230</xdr:rowOff>
    </xdr:from>
    <xdr:to>
      <xdr:col>7</xdr:col>
      <xdr:colOff>36487</xdr:colOff>
      <xdr:row>6</xdr:row>
      <xdr:rowOff>174285</xdr:rowOff>
    </xdr:to>
    <xdr:sp macro="" textlink="">
      <xdr:nvSpPr>
        <xdr:cNvPr id="13" name="TextBox 12">
          <a:extLst>
            <a:ext uri="{FF2B5EF4-FFF2-40B4-BE49-F238E27FC236}">
              <a16:creationId xmlns:a16="http://schemas.microsoft.com/office/drawing/2014/main" id="{F9B89B84-8ABF-4342-B590-97490A0D3FD4}"/>
            </a:ext>
          </a:extLst>
        </xdr:cNvPr>
        <xdr:cNvSpPr txBox="1"/>
      </xdr:nvSpPr>
      <xdr:spPr>
        <a:xfrm>
          <a:off x="3224008" y="828962"/>
          <a:ext cx="1470338"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TOTAL SALES</a:t>
          </a:r>
        </a:p>
      </xdr:txBody>
    </xdr:sp>
    <xdr:clientData/>
  </xdr:twoCellAnchor>
  <xdr:twoCellAnchor>
    <xdr:from>
      <xdr:col>9</xdr:col>
      <xdr:colOff>195328</xdr:colOff>
      <xdr:row>1</xdr:row>
      <xdr:rowOff>184597</xdr:rowOff>
    </xdr:from>
    <xdr:to>
      <xdr:col>11</xdr:col>
      <xdr:colOff>334849</xdr:colOff>
      <xdr:row>4</xdr:row>
      <xdr:rowOff>109470</xdr:rowOff>
    </xdr:to>
    <xdr:sp macro="" textlink="'Sheets Design'!$B$9">
      <xdr:nvSpPr>
        <xdr:cNvPr id="14" name="TextBox 13">
          <a:extLst>
            <a:ext uri="{FF2B5EF4-FFF2-40B4-BE49-F238E27FC236}">
              <a16:creationId xmlns:a16="http://schemas.microsoft.com/office/drawing/2014/main" id="{A302ADB4-3D0F-47EF-BF78-74BBA2FF5199}"/>
            </a:ext>
          </a:extLst>
        </xdr:cNvPr>
        <xdr:cNvSpPr txBox="1"/>
      </xdr:nvSpPr>
      <xdr:spPr>
        <a:xfrm>
          <a:off x="6184004" y="377780"/>
          <a:ext cx="1470338"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BA2745-F711-403B-840C-3B457A9F7B90}" type="TxLink">
            <a:rPr lang="en-US" sz="2500" b="0" i="0" u="none" strike="noStrike">
              <a:solidFill>
                <a:srgbClr val="000000"/>
              </a:solidFill>
              <a:latin typeface="Segoe UI Black" panose="020B0A02040204020203" pitchFamily="34" charset="0"/>
              <a:ea typeface="Segoe UI Black" panose="020B0A02040204020203" pitchFamily="34" charset="0"/>
              <a:cs typeface="Calibri"/>
            </a:rPr>
            <a:pPr/>
            <a:t>$141.7</a:t>
          </a:fld>
          <a:endParaRPr lang="en-IN" sz="2500" b="1">
            <a:latin typeface="Segoe UI Black" panose="020B0A02040204020203" pitchFamily="34" charset="0"/>
            <a:ea typeface="Segoe UI Black" panose="020B0A02040204020203" pitchFamily="34" charset="0"/>
          </a:endParaRPr>
        </a:p>
      </xdr:txBody>
    </xdr:sp>
    <xdr:clientData/>
  </xdr:twoCellAnchor>
  <xdr:twoCellAnchor>
    <xdr:from>
      <xdr:col>9</xdr:col>
      <xdr:colOff>135225</xdr:colOff>
      <xdr:row>4</xdr:row>
      <xdr:rowOff>56230</xdr:rowOff>
    </xdr:from>
    <xdr:to>
      <xdr:col>11</xdr:col>
      <xdr:colOff>594573</xdr:colOff>
      <xdr:row>6</xdr:row>
      <xdr:rowOff>174285</xdr:rowOff>
    </xdr:to>
    <xdr:sp macro="" textlink="">
      <xdr:nvSpPr>
        <xdr:cNvPr id="15" name="TextBox 14">
          <a:extLst>
            <a:ext uri="{FF2B5EF4-FFF2-40B4-BE49-F238E27FC236}">
              <a16:creationId xmlns:a16="http://schemas.microsoft.com/office/drawing/2014/main" id="{64B799EB-D43F-49EB-B5A6-D9FE40070582}"/>
            </a:ext>
          </a:extLst>
        </xdr:cNvPr>
        <xdr:cNvSpPr txBox="1"/>
      </xdr:nvSpPr>
      <xdr:spPr>
        <a:xfrm>
          <a:off x="6123901" y="828962"/>
          <a:ext cx="1790165"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AVERAGE SALES</a:t>
          </a:r>
        </a:p>
      </xdr:txBody>
    </xdr:sp>
    <xdr:clientData/>
  </xdr:twoCellAnchor>
  <xdr:twoCellAnchor>
    <xdr:from>
      <xdr:col>4</xdr:col>
      <xdr:colOff>562374</xdr:colOff>
      <xdr:row>10</xdr:row>
      <xdr:rowOff>81989</xdr:rowOff>
    </xdr:from>
    <xdr:to>
      <xdr:col>7</xdr:col>
      <xdr:colOff>356314</xdr:colOff>
      <xdr:row>13</xdr:row>
      <xdr:rowOff>6862</xdr:rowOff>
    </xdr:to>
    <xdr:sp macro="" textlink="">
      <xdr:nvSpPr>
        <xdr:cNvPr id="16" name="TextBox 15">
          <a:extLst>
            <a:ext uri="{FF2B5EF4-FFF2-40B4-BE49-F238E27FC236}">
              <a16:creationId xmlns:a16="http://schemas.microsoft.com/office/drawing/2014/main" id="{74FFAE7A-A14C-4D4B-B624-FABBD0FB09F2}"/>
            </a:ext>
          </a:extLst>
        </xdr:cNvPr>
        <xdr:cNvSpPr txBox="1"/>
      </xdr:nvSpPr>
      <xdr:spPr>
        <a:xfrm>
          <a:off x="3224008" y="2013820"/>
          <a:ext cx="1790165"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NO OF ITEMS</a:t>
          </a:r>
        </a:p>
      </xdr:txBody>
    </xdr:sp>
    <xdr:clientData/>
  </xdr:twoCellAnchor>
  <xdr:twoCellAnchor>
    <xdr:from>
      <xdr:col>5</xdr:col>
      <xdr:colOff>25756</xdr:colOff>
      <xdr:row>7</xdr:row>
      <xdr:rowOff>156694</xdr:rowOff>
    </xdr:from>
    <xdr:to>
      <xdr:col>7</xdr:col>
      <xdr:colOff>165277</xdr:colOff>
      <xdr:row>10</xdr:row>
      <xdr:rowOff>81567</xdr:rowOff>
    </xdr:to>
    <xdr:sp macro="" textlink="'Sheets Design'!$C$9">
      <xdr:nvSpPr>
        <xdr:cNvPr id="17" name="TextBox 16">
          <a:extLst>
            <a:ext uri="{FF2B5EF4-FFF2-40B4-BE49-F238E27FC236}">
              <a16:creationId xmlns:a16="http://schemas.microsoft.com/office/drawing/2014/main" id="{29737C29-1C5F-4F76-A7E5-763FDA57103F}"/>
            </a:ext>
          </a:extLst>
        </xdr:cNvPr>
        <xdr:cNvSpPr txBox="1"/>
      </xdr:nvSpPr>
      <xdr:spPr>
        <a:xfrm>
          <a:off x="3352798" y="1508976"/>
          <a:ext cx="1470338"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22EAF0-57F0-4D37-ACB3-51ACB9E50E1C}" type="TxLink">
            <a:rPr lang="en-US" sz="2500" b="0" i="0" u="none" strike="noStrike">
              <a:solidFill>
                <a:srgbClr val="000000"/>
              </a:solidFill>
              <a:latin typeface="Segoe UI Black" panose="020B0A02040204020203" pitchFamily="34" charset="0"/>
              <a:ea typeface="Segoe UI Black" panose="020B0A02040204020203" pitchFamily="34" charset="0"/>
              <a:cs typeface="Calibri"/>
            </a:rPr>
            <a:pPr/>
            <a:t>3139</a:t>
          </a:fld>
          <a:endParaRPr lang="en-IN" sz="2500" b="1">
            <a:latin typeface="Segoe UI Black" panose="020B0A02040204020203" pitchFamily="34" charset="0"/>
            <a:ea typeface="Segoe UI Black" panose="020B0A02040204020203" pitchFamily="34" charset="0"/>
          </a:endParaRPr>
        </a:p>
      </xdr:txBody>
    </xdr:sp>
    <xdr:clientData/>
  </xdr:twoCellAnchor>
  <xdr:twoCellAnchor>
    <xdr:from>
      <xdr:col>9</xdr:col>
      <xdr:colOff>156691</xdr:colOff>
      <xdr:row>7</xdr:row>
      <xdr:rowOff>156694</xdr:rowOff>
    </xdr:from>
    <xdr:to>
      <xdr:col>11</xdr:col>
      <xdr:colOff>296212</xdr:colOff>
      <xdr:row>10</xdr:row>
      <xdr:rowOff>81567</xdr:rowOff>
    </xdr:to>
    <xdr:sp macro="" textlink="'Sheets Design'!$D$9">
      <xdr:nvSpPr>
        <xdr:cNvPr id="18" name="TextBox 17">
          <a:extLst>
            <a:ext uri="{FF2B5EF4-FFF2-40B4-BE49-F238E27FC236}">
              <a16:creationId xmlns:a16="http://schemas.microsoft.com/office/drawing/2014/main" id="{A60B6A71-A3AA-40D3-A564-C225CDD919C9}"/>
            </a:ext>
          </a:extLst>
        </xdr:cNvPr>
        <xdr:cNvSpPr txBox="1"/>
      </xdr:nvSpPr>
      <xdr:spPr>
        <a:xfrm>
          <a:off x="6145367" y="1508976"/>
          <a:ext cx="1470338"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8A4DCD-EA82-48B0-94D8-EFB2C2C089CA}" type="TxLink">
            <a:rPr lang="en-US" sz="25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500" b="1">
            <a:latin typeface="Segoe UI Black" panose="020B0A02040204020203" pitchFamily="34" charset="0"/>
            <a:ea typeface="Segoe UI Black" panose="020B0A02040204020203" pitchFamily="34" charset="0"/>
          </a:endParaRPr>
        </a:p>
      </xdr:txBody>
    </xdr:sp>
    <xdr:clientData/>
  </xdr:twoCellAnchor>
  <xdr:twoCellAnchor>
    <xdr:from>
      <xdr:col>9</xdr:col>
      <xdr:colOff>135225</xdr:colOff>
      <xdr:row>10</xdr:row>
      <xdr:rowOff>81989</xdr:rowOff>
    </xdr:from>
    <xdr:to>
      <xdr:col>11</xdr:col>
      <xdr:colOff>594573</xdr:colOff>
      <xdr:row>13</xdr:row>
      <xdr:rowOff>6862</xdr:rowOff>
    </xdr:to>
    <xdr:sp macro="" textlink="">
      <xdr:nvSpPr>
        <xdr:cNvPr id="19" name="TextBox 18">
          <a:extLst>
            <a:ext uri="{FF2B5EF4-FFF2-40B4-BE49-F238E27FC236}">
              <a16:creationId xmlns:a16="http://schemas.microsoft.com/office/drawing/2014/main" id="{4C81E917-EB45-482C-AF23-63B1053513C8}"/>
            </a:ext>
          </a:extLst>
        </xdr:cNvPr>
        <xdr:cNvSpPr txBox="1"/>
      </xdr:nvSpPr>
      <xdr:spPr>
        <a:xfrm>
          <a:off x="6123901" y="2013820"/>
          <a:ext cx="1790165"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AVERAGE RATING</a:t>
          </a:r>
        </a:p>
      </xdr:txBody>
    </xdr:sp>
    <xdr:clientData/>
  </xdr:twoCellAnchor>
  <xdr:twoCellAnchor>
    <xdr:from>
      <xdr:col>4</xdr:col>
      <xdr:colOff>347674</xdr:colOff>
      <xdr:row>13</xdr:row>
      <xdr:rowOff>138518</xdr:rowOff>
    </xdr:from>
    <xdr:to>
      <xdr:col>12</xdr:col>
      <xdr:colOff>643944</xdr:colOff>
      <xdr:row>37</xdr:row>
      <xdr:rowOff>85859</xdr:rowOff>
    </xdr:to>
    <xdr:sp macro="" textlink="">
      <xdr:nvSpPr>
        <xdr:cNvPr id="20" name="Rectangle: Rounded Corners 19">
          <a:extLst>
            <a:ext uri="{FF2B5EF4-FFF2-40B4-BE49-F238E27FC236}">
              <a16:creationId xmlns:a16="http://schemas.microsoft.com/office/drawing/2014/main" id="{1AA52F4C-1DDC-4491-877B-D71DB03C8AA5}"/>
            </a:ext>
          </a:extLst>
        </xdr:cNvPr>
        <xdr:cNvSpPr/>
      </xdr:nvSpPr>
      <xdr:spPr>
        <a:xfrm>
          <a:off x="3009308" y="2649898"/>
          <a:ext cx="5619537" cy="4583736"/>
        </a:xfrm>
        <a:prstGeom prst="roundRect">
          <a:avLst>
            <a:gd name="adj" fmla="val 355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493686</xdr:colOff>
      <xdr:row>15</xdr:row>
      <xdr:rowOff>161405</xdr:rowOff>
    </xdr:from>
    <xdr:to>
      <xdr:col>8</xdr:col>
      <xdr:colOff>279042</xdr:colOff>
      <xdr:row>26</xdr:row>
      <xdr:rowOff>5590</xdr:rowOff>
    </xdr:to>
    <xdr:graphicFrame macro="">
      <xdr:nvGraphicFramePr>
        <xdr:cNvPr id="21" name="Chart 20">
          <a:extLst>
            <a:ext uri="{FF2B5EF4-FFF2-40B4-BE49-F238E27FC236}">
              <a16:creationId xmlns:a16="http://schemas.microsoft.com/office/drawing/2014/main" id="{2E577227-77B0-48F6-AF9A-A19C66FBB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585985</xdr:colOff>
      <xdr:row>13</xdr:row>
      <xdr:rowOff>169994</xdr:rowOff>
    </xdr:from>
    <xdr:to>
      <xdr:col>7</xdr:col>
      <xdr:colOff>379925</xdr:colOff>
      <xdr:row>16</xdr:row>
      <xdr:rowOff>94866</xdr:rowOff>
    </xdr:to>
    <xdr:sp macro="" textlink="">
      <xdr:nvSpPr>
        <xdr:cNvPr id="22" name="TextBox 21">
          <a:extLst>
            <a:ext uri="{FF2B5EF4-FFF2-40B4-BE49-F238E27FC236}">
              <a16:creationId xmlns:a16="http://schemas.microsoft.com/office/drawing/2014/main" id="{2942DA91-1E67-41CA-8A6D-99854C46C3D6}"/>
            </a:ext>
          </a:extLst>
        </xdr:cNvPr>
        <xdr:cNvSpPr txBox="1"/>
      </xdr:nvSpPr>
      <xdr:spPr>
        <a:xfrm>
          <a:off x="3247619" y="2681374"/>
          <a:ext cx="1790165"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FAT</a:t>
          </a:r>
          <a:r>
            <a:rPr lang="en-US" sz="1400" b="1" i="0" u="none" strike="noStrike" baseline="0">
              <a:solidFill>
                <a:srgbClr val="000000"/>
              </a:solidFill>
              <a:latin typeface="Segoe UI Black" panose="020B0A02040204020203" pitchFamily="34" charset="0"/>
              <a:ea typeface="Segoe UI Black" panose="020B0A02040204020203" pitchFamily="34" charset="0"/>
              <a:cs typeface="Calibri"/>
            </a:rPr>
            <a:t> CONTENT</a:t>
          </a:r>
          <a:endParaRPr lang="en-US"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495809</xdr:colOff>
      <xdr:row>13</xdr:row>
      <xdr:rowOff>138518</xdr:rowOff>
    </xdr:from>
    <xdr:to>
      <xdr:col>8</xdr:col>
      <xdr:colOff>495809</xdr:colOff>
      <xdr:row>37</xdr:row>
      <xdr:rowOff>85859</xdr:rowOff>
    </xdr:to>
    <xdr:cxnSp macro="">
      <xdr:nvCxnSpPr>
        <xdr:cNvPr id="24" name="Straight Connector 23">
          <a:extLst>
            <a:ext uri="{FF2B5EF4-FFF2-40B4-BE49-F238E27FC236}">
              <a16:creationId xmlns:a16="http://schemas.microsoft.com/office/drawing/2014/main" id="{6141C446-F5FC-050D-6E1B-19AD4614D8DE}"/>
            </a:ext>
          </a:extLst>
        </xdr:cNvPr>
        <xdr:cNvCxnSpPr>
          <a:stCxn id="20" idx="0"/>
          <a:endCxn id="20" idx="2"/>
        </xdr:cNvCxnSpPr>
      </xdr:nvCxnSpPr>
      <xdr:spPr>
        <a:xfrm>
          <a:off x="5819077" y="2649898"/>
          <a:ext cx="0" cy="4583736"/>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300507</xdr:colOff>
      <xdr:row>26</xdr:row>
      <xdr:rowOff>85859</xdr:rowOff>
    </xdr:from>
    <xdr:to>
      <xdr:col>8</xdr:col>
      <xdr:colOff>482957</xdr:colOff>
      <xdr:row>26</xdr:row>
      <xdr:rowOff>85859</xdr:rowOff>
    </xdr:to>
    <xdr:cxnSp macro="">
      <xdr:nvCxnSpPr>
        <xdr:cNvPr id="25" name="Straight Connector 24">
          <a:extLst>
            <a:ext uri="{FF2B5EF4-FFF2-40B4-BE49-F238E27FC236}">
              <a16:creationId xmlns:a16="http://schemas.microsoft.com/office/drawing/2014/main" id="{59AEEAE9-FA56-4B67-B9A4-0E78F306EB0F}"/>
            </a:ext>
          </a:extLst>
        </xdr:cNvPr>
        <xdr:cNvCxnSpPr/>
      </xdr:nvCxnSpPr>
      <xdr:spPr>
        <a:xfrm flipH="1">
          <a:off x="2962141" y="5108620"/>
          <a:ext cx="2844084" cy="0"/>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461492</xdr:colOff>
      <xdr:row>28</xdr:row>
      <xdr:rowOff>118056</xdr:rowOff>
    </xdr:from>
    <xdr:to>
      <xdr:col>8</xdr:col>
      <xdr:colOff>364901</xdr:colOff>
      <xdr:row>36</xdr:row>
      <xdr:rowOff>150253</xdr:rowOff>
    </xdr:to>
    <xdr:graphicFrame macro="">
      <xdr:nvGraphicFramePr>
        <xdr:cNvPr id="29" name="Chart 28">
          <a:extLst>
            <a:ext uri="{FF2B5EF4-FFF2-40B4-BE49-F238E27FC236}">
              <a16:creationId xmlns:a16="http://schemas.microsoft.com/office/drawing/2014/main" id="{7DD3B752-E850-4EF3-BBC1-004C87A53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577400</xdr:colOff>
      <xdr:row>26</xdr:row>
      <xdr:rowOff>118478</xdr:rowOff>
    </xdr:from>
    <xdr:to>
      <xdr:col>7</xdr:col>
      <xdr:colOff>371340</xdr:colOff>
      <xdr:row>29</xdr:row>
      <xdr:rowOff>43351</xdr:rowOff>
    </xdr:to>
    <xdr:sp macro="" textlink="">
      <xdr:nvSpPr>
        <xdr:cNvPr id="30" name="TextBox 29">
          <a:extLst>
            <a:ext uri="{FF2B5EF4-FFF2-40B4-BE49-F238E27FC236}">
              <a16:creationId xmlns:a16="http://schemas.microsoft.com/office/drawing/2014/main" id="{3C94CE1C-1126-45E9-8530-AE460D82891B}"/>
            </a:ext>
          </a:extLst>
        </xdr:cNvPr>
        <xdr:cNvSpPr txBox="1"/>
      </xdr:nvSpPr>
      <xdr:spPr>
        <a:xfrm>
          <a:off x="3239034" y="5141239"/>
          <a:ext cx="1790165"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FAT</a:t>
          </a:r>
          <a:r>
            <a:rPr lang="en-US" sz="1400" b="1" i="0" u="none" strike="noStrike" baseline="0">
              <a:solidFill>
                <a:srgbClr val="000000"/>
              </a:solidFill>
              <a:latin typeface="Segoe UI Black" panose="020B0A02040204020203" pitchFamily="34" charset="0"/>
              <a:ea typeface="Segoe UI Black" panose="020B0A02040204020203" pitchFamily="34" charset="0"/>
              <a:cs typeface="Calibri"/>
            </a:rPr>
            <a:t> BY OUTLET</a:t>
          </a:r>
          <a:endParaRPr lang="en-US"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631061</xdr:colOff>
      <xdr:row>13</xdr:row>
      <xdr:rowOff>172140</xdr:rowOff>
    </xdr:from>
    <xdr:to>
      <xdr:col>11</xdr:col>
      <xdr:colOff>425001</xdr:colOff>
      <xdr:row>16</xdr:row>
      <xdr:rowOff>97012</xdr:rowOff>
    </xdr:to>
    <xdr:sp macro="" textlink="">
      <xdr:nvSpPr>
        <xdr:cNvPr id="3" name="TextBox 2">
          <a:extLst>
            <a:ext uri="{FF2B5EF4-FFF2-40B4-BE49-F238E27FC236}">
              <a16:creationId xmlns:a16="http://schemas.microsoft.com/office/drawing/2014/main" id="{7FA78904-A9DD-4149-AE9F-A06B25C8D935}"/>
            </a:ext>
          </a:extLst>
        </xdr:cNvPr>
        <xdr:cNvSpPr txBox="1"/>
      </xdr:nvSpPr>
      <xdr:spPr>
        <a:xfrm>
          <a:off x="5954329" y="2683520"/>
          <a:ext cx="1790165"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ITEM TYPE</a:t>
          </a:r>
        </a:p>
      </xdr:txBody>
    </xdr:sp>
    <xdr:clientData/>
  </xdr:twoCellAnchor>
  <xdr:twoCellAnchor>
    <xdr:from>
      <xdr:col>8</xdr:col>
      <xdr:colOff>622478</xdr:colOff>
      <xdr:row>15</xdr:row>
      <xdr:rowOff>21886</xdr:rowOff>
    </xdr:from>
    <xdr:to>
      <xdr:col>12</xdr:col>
      <xdr:colOff>525888</xdr:colOff>
      <xdr:row>37</xdr:row>
      <xdr:rowOff>96591</xdr:rowOff>
    </xdr:to>
    <xdr:graphicFrame macro="">
      <xdr:nvGraphicFramePr>
        <xdr:cNvPr id="23" name="Chart 22">
          <a:extLst>
            <a:ext uri="{FF2B5EF4-FFF2-40B4-BE49-F238E27FC236}">
              <a16:creationId xmlns:a16="http://schemas.microsoft.com/office/drawing/2014/main" id="{CBDFDA3F-1DE4-4FCF-845C-DDC06A41E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382016</xdr:colOff>
      <xdr:row>3</xdr:row>
      <xdr:rowOff>150253</xdr:rowOff>
    </xdr:from>
    <xdr:to>
      <xdr:col>21</xdr:col>
      <xdr:colOff>225380</xdr:colOff>
      <xdr:row>13</xdr:row>
      <xdr:rowOff>0</xdr:rowOff>
    </xdr:to>
    <xdr:graphicFrame macro="">
      <xdr:nvGraphicFramePr>
        <xdr:cNvPr id="28" name="Chart 27">
          <a:extLst>
            <a:ext uri="{FF2B5EF4-FFF2-40B4-BE49-F238E27FC236}">
              <a16:creationId xmlns:a16="http://schemas.microsoft.com/office/drawing/2014/main" id="{344F0623-690D-40FC-80B4-668401039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330554</xdr:colOff>
      <xdr:row>1</xdr:row>
      <xdr:rowOff>118478</xdr:rowOff>
    </xdr:from>
    <xdr:to>
      <xdr:col>17</xdr:col>
      <xdr:colOff>246845</xdr:colOff>
      <xdr:row>4</xdr:row>
      <xdr:rowOff>43351</xdr:rowOff>
    </xdr:to>
    <xdr:sp macro="" textlink="">
      <xdr:nvSpPr>
        <xdr:cNvPr id="31" name="TextBox 30">
          <a:extLst>
            <a:ext uri="{FF2B5EF4-FFF2-40B4-BE49-F238E27FC236}">
              <a16:creationId xmlns:a16="http://schemas.microsoft.com/office/drawing/2014/main" id="{937216B3-B937-4FD3-B928-A32DBD7C9E1E}"/>
            </a:ext>
          </a:extLst>
        </xdr:cNvPr>
        <xdr:cNvSpPr txBox="1"/>
      </xdr:nvSpPr>
      <xdr:spPr>
        <a:xfrm>
          <a:off x="8980864" y="311661"/>
          <a:ext cx="2577925" cy="50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OUTLET</a:t>
          </a:r>
          <a:r>
            <a:rPr lang="en-US" sz="1400" b="1" i="0" u="none" strike="noStrike" baseline="0">
              <a:solidFill>
                <a:srgbClr val="000000"/>
              </a:solidFill>
              <a:latin typeface="Segoe UI Black" panose="020B0A02040204020203" pitchFamily="34" charset="0"/>
              <a:ea typeface="Segoe UI Black" panose="020B0A02040204020203" pitchFamily="34" charset="0"/>
              <a:cs typeface="Calibri"/>
            </a:rPr>
            <a:t> ESTABLISHMENT</a:t>
          </a:r>
          <a:endParaRPr lang="en-US"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7</xdr:col>
      <xdr:colOff>468662</xdr:colOff>
      <xdr:row>8</xdr:row>
      <xdr:rowOff>157424</xdr:rowOff>
    </xdr:from>
    <xdr:to>
      <xdr:col>8</xdr:col>
      <xdr:colOff>107322</xdr:colOff>
      <xdr:row>10</xdr:row>
      <xdr:rowOff>75127</xdr:rowOff>
    </xdr:to>
    <xdr:pic>
      <xdr:nvPicPr>
        <xdr:cNvPr id="33" name="Picture 32">
          <a:extLst>
            <a:ext uri="{FF2B5EF4-FFF2-40B4-BE49-F238E27FC236}">
              <a16:creationId xmlns:a16="http://schemas.microsoft.com/office/drawing/2014/main" id="{83BF0C1A-D05E-DA05-B5E9-262083870BF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126521" y="1702889"/>
          <a:ext cx="304069" cy="304069"/>
        </a:xfrm>
        <a:prstGeom prst="rect">
          <a:avLst/>
        </a:prstGeom>
      </xdr:spPr>
    </xdr:pic>
    <xdr:clientData/>
  </xdr:twoCellAnchor>
  <xdr:twoCellAnchor editAs="oneCell">
    <xdr:from>
      <xdr:col>12</xdr:col>
      <xdr:colOff>150001</xdr:colOff>
      <xdr:row>2</xdr:row>
      <xdr:rowOff>150001</xdr:rowOff>
    </xdr:from>
    <xdr:to>
      <xdr:col>12</xdr:col>
      <xdr:colOff>375635</xdr:colOff>
      <xdr:row>3</xdr:row>
      <xdr:rowOff>182452</xdr:rowOff>
    </xdr:to>
    <xdr:pic>
      <xdr:nvPicPr>
        <xdr:cNvPr id="35" name="Picture 34">
          <a:extLst>
            <a:ext uri="{FF2B5EF4-FFF2-40B4-BE49-F238E27FC236}">
              <a16:creationId xmlns:a16="http://schemas.microsoft.com/office/drawing/2014/main" id="{FF87F409-D0A9-7208-43D7-6450F616EDF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902" y="536367"/>
          <a:ext cx="225634" cy="225634"/>
        </a:xfrm>
        <a:prstGeom prst="rect">
          <a:avLst/>
        </a:prstGeom>
      </xdr:spPr>
    </xdr:pic>
    <xdr:clientData/>
  </xdr:twoCellAnchor>
  <xdr:twoCellAnchor editAs="oneCell">
    <xdr:from>
      <xdr:col>12</xdr:col>
      <xdr:colOff>80101</xdr:colOff>
      <xdr:row>8</xdr:row>
      <xdr:rowOff>85860</xdr:rowOff>
    </xdr:from>
    <xdr:to>
      <xdr:col>12</xdr:col>
      <xdr:colOff>402073</xdr:colOff>
      <xdr:row>10</xdr:row>
      <xdr:rowOff>21466</xdr:rowOff>
    </xdr:to>
    <xdr:pic>
      <xdr:nvPicPr>
        <xdr:cNvPr id="37" name="Picture 36">
          <a:extLst>
            <a:ext uri="{FF2B5EF4-FFF2-40B4-BE49-F238E27FC236}">
              <a16:creationId xmlns:a16="http://schemas.microsoft.com/office/drawing/2014/main" id="{FD54A269-1392-C63E-684B-404A7E61A9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065002" y="1631325"/>
          <a:ext cx="321972" cy="321972"/>
        </a:xfrm>
        <a:prstGeom prst="rect">
          <a:avLst/>
        </a:prstGeom>
      </xdr:spPr>
    </xdr:pic>
    <xdr:clientData/>
  </xdr:twoCellAnchor>
  <xdr:twoCellAnchor editAs="oneCell">
    <xdr:from>
      <xdr:col>7</xdr:col>
      <xdr:colOff>525887</xdr:colOff>
      <xdr:row>2</xdr:row>
      <xdr:rowOff>85607</xdr:rowOff>
    </xdr:from>
    <xdr:to>
      <xdr:col>8</xdr:col>
      <xdr:colOff>196612</xdr:colOff>
      <xdr:row>4</xdr:row>
      <xdr:rowOff>35375</xdr:rowOff>
    </xdr:to>
    <xdr:pic>
      <xdr:nvPicPr>
        <xdr:cNvPr id="39" name="Picture 38">
          <a:extLst>
            <a:ext uri="{FF2B5EF4-FFF2-40B4-BE49-F238E27FC236}">
              <a16:creationId xmlns:a16="http://schemas.microsoft.com/office/drawing/2014/main" id="{76EE260D-3F10-E88D-C4A0-3DE487CB6A9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83746" y="471973"/>
          <a:ext cx="336134" cy="336134"/>
        </a:xfrm>
        <a:prstGeom prst="rect">
          <a:avLst/>
        </a:prstGeom>
      </xdr:spPr>
    </xdr:pic>
    <xdr:clientData/>
  </xdr:twoCellAnchor>
  <xdr:twoCellAnchor>
    <xdr:from>
      <xdr:col>13</xdr:col>
      <xdr:colOff>128036</xdr:colOff>
      <xdr:row>13</xdr:row>
      <xdr:rowOff>93579</xdr:rowOff>
    </xdr:from>
    <xdr:to>
      <xdr:col>21</xdr:col>
      <xdr:colOff>427790</xdr:colOff>
      <xdr:row>13</xdr:row>
      <xdr:rowOff>95462</xdr:rowOff>
    </xdr:to>
    <xdr:cxnSp macro="">
      <xdr:nvCxnSpPr>
        <xdr:cNvPr id="40" name="Straight Connector 39">
          <a:extLst>
            <a:ext uri="{FF2B5EF4-FFF2-40B4-BE49-F238E27FC236}">
              <a16:creationId xmlns:a16="http://schemas.microsoft.com/office/drawing/2014/main" id="{BB7250D6-0800-4512-B5E4-3DA9D321AA68}"/>
            </a:ext>
          </a:extLst>
        </xdr:cNvPr>
        <xdr:cNvCxnSpPr/>
      </xdr:nvCxnSpPr>
      <xdr:spPr>
        <a:xfrm flipH="1">
          <a:off x="8817510" y="2700421"/>
          <a:ext cx="5647122" cy="1883"/>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286119</xdr:colOff>
      <xdr:row>14</xdr:row>
      <xdr:rowOff>36573</xdr:rowOff>
    </xdr:from>
    <xdr:to>
      <xdr:col>16</xdr:col>
      <xdr:colOff>80060</xdr:colOff>
      <xdr:row>16</xdr:row>
      <xdr:rowOff>161971</xdr:rowOff>
    </xdr:to>
    <xdr:sp macro="" textlink="">
      <xdr:nvSpPr>
        <xdr:cNvPr id="42" name="TextBox 41">
          <a:extLst>
            <a:ext uri="{FF2B5EF4-FFF2-40B4-BE49-F238E27FC236}">
              <a16:creationId xmlns:a16="http://schemas.microsoft.com/office/drawing/2014/main" id="{C248F22F-0F56-4060-AC0E-5D1689420C4F}"/>
            </a:ext>
          </a:extLst>
        </xdr:cNvPr>
        <xdr:cNvSpPr txBox="1"/>
      </xdr:nvSpPr>
      <xdr:spPr>
        <a:xfrm>
          <a:off x="8975593" y="2843941"/>
          <a:ext cx="1799204" cy="52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OUTLET SIZE</a:t>
          </a:r>
        </a:p>
      </xdr:txBody>
    </xdr:sp>
    <xdr:clientData/>
  </xdr:twoCellAnchor>
  <xdr:twoCellAnchor>
    <xdr:from>
      <xdr:col>13</xdr:col>
      <xdr:colOff>347578</xdr:colOff>
      <xdr:row>16</xdr:row>
      <xdr:rowOff>53474</xdr:rowOff>
    </xdr:from>
    <xdr:to>
      <xdr:col>17</xdr:col>
      <xdr:colOff>254000</xdr:colOff>
      <xdr:row>26</xdr:row>
      <xdr:rowOff>26737</xdr:rowOff>
    </xdr:to>
    <xdr:graphicFrame macro="">
      <xdr:nvGraphicFramePr>
        <xdr:cNvPr id="43" name="Chart 42">
          <a:extLst>
            <a:ext uri="{FF2B5EF4-FFF2-40B4-BE49-F238E27FC236}">
              <a16:creationId xmlns:a16="http://schemas.microsoft.com/office/drawing/2014/main" id="{4BE857C9-0AD9-499D-A67C-1A8BA7662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481262</xdr:colOff>
      <xdr:row>15</xdr:row>
      <xdr:rowOff>187157</xdr:rowOff>
    </xdr:from>
    <xdr:to>
      <xdr:col>21</xdr:col>
      <xdr:colOff>106947</xdr:colOff>
      <xdr:row>26</xdr:row>
      <xdr:rowOff>147053</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F39133C5-DF80-4A82-9354-AA58DA4E98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80782" y="3158957"/>
              <a:ext cx="2307925" cy="21392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398413</xdr:colOff>
      <xdr:row>14</xdr:row>
      <xdr:rowOff>15183</xdr:rowOff>
    </xdr:from>
    <xdr:to>
      <xdr:col>21</xdr:col>
      <xdr:colOff>40104</xdr:colOff>
      <xdr:row>16</xdr:row>
      <xdr:rowOff>140581</xdr:rowOff>
    </xdr:to>
    <xdr:sp macro="" textlink="">
      <xdr:nvSpPr>
        <xdr:cNvPr id="45" name="TextBox 44">
          <a:extLst>
            <a:ext uri="{FF2B5EF4-FFF2-40B4-BE49-F238E27FC236}">
              <a16:creationId xmlns:a16="http://schemas.microsoft.com/office/drawing/2014/main" id="{08379557-0BB0-4ED5-ABC1-53B830EECF4B}"/>
            </a:ext>
          </a:extLst>
        </xdr:cNvPr>
        <xdr:cNvSpPr txBox="1"/>
      </xdr:nvSpPr>
      <xdr:spPr>
        <a:xfrm>
          <a:off x="11761571" y="2822551"/>
          <a:ext cx="2315375" cy="52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OUTLET LOCATION</a:t>
          </a:r>
        </a:p>
      </xdr:txBody>
    </xdr:sp>
    <xdr:clientData/>
  </xdr:twoCellAnchor>
  <xdr:twoCellAnchor>
    <xdr:from>
      <xdr:col>13</xdr:col>
      <xdr:colOff>122001</xdr:colOff>
      <xdr:row>26</xdr:row>
      <xdr:rowOff>144455</xdr:rowOff>
    </xdr:from>
    <xdr:to>
      <xdr:col>21</xdr:col>
      <xdr:colOff>421755</xdr:colOff>
      <xdr:row>26</xdr:row>
      <xdr:rowOff>146338</xdr:rowOff>
    </xdr:to>
    <xdr:cxnSp macro="">
      <xdr:nvCxnSpPr>
        <xdr:cNvPr id="46" name="Straight Connector 45">
          <a:extLst>
            <a:ext uri="{FF2B5EF4-FFF2-40B4-BE49-F238E27FC236}">
              <a16:creationId xmlns:a16="http://schemas.microsoft.com/office/drawing/2014/main" id="{B1D1A3A8-5A21-410F-94E0-964F04AE7C7E}"/>
            </a:ext>
          </a:extLst>
        </xdr:cNvPr>
        <xdr:cNvCxnSpPr/>
      </xdr:nvCxnSpPr>
      <xdr:spPr>
        <a:xfrm flipH="1">
          <a:off x="8839281" y="5352181"/>
          <a:ext cx="5664234" cy="1883"/>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351692</xdr:colOff>
      <xdr:row>13</xdr:row>
      <xdr:rowOff>120058</xdr:rowOff>
    </xdr:from>
    <xdr:to>
      <xdr:col>17</xdr:col>
      <xdr:colOff>355537</xdr:colOff>
      <xdr:row>26</xdr:row>
      <xdr:rowOff>139212</xdr:rowOff>
    </xdr:to>
    <xdr:cxnSp macro="">
      <xdr:nvCxnSpPr>
        <xdr:cNvPr id="47" name="Straight Connector 46">
          <a:extLst>
            <a:ext uri="{FF2B5EF4-FFF2-40B4-BE49-F238E27FC236}">
              <a16:creationId xmlns:a16="http://schemas.microsoft.com/office/drawing/2014/main" id="{4E440241-3672-4FB2-A32C-96D931489C07}"/>
            </a:ext>
          </a:extLst>
        </xdr:cNvPr>
        <xdr:cNvCxnSpPr/>
      </xdr:nvCxnSpPr>
      <xdr:spPr>
        <a:xfrm flipH="1">
          <a:off x="11811000" y="2691808"/>
          <a:ext cx="3845" cy="2590904"/>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241299</xdr:colOff>
      <xdr:row>27</xdr:row>
      <xdr:rowOff>125046</xdr:rowOff>
    </xdr:from>
    <xdr:to>
      <xdr:col>16</xdr:col>
      <xdr:colOff>19068</xdr:colOff>
      <xdr:row>36</xdr:row>
      <xdr:rowOff>144604</xdr:rowOff>
    </xdr:to>
    <xdr:graphicFrame macro="">
      <xdr:nvGraphicFramePr>
        <xdr:cNvPr id="48" name="Chart 47">
          <a:extLst>
            <a:ext uri="{FF2B5EF4-FFF2-40B4-BE49-F238E27FC236}">
              <a16:creationId xmlns:a16="http://schemas.microsoft.com/office/drawing/2014/main" id="{972DB6F1-A237-4CB0-9CD6-75FB05672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326893</xdr:colOff>
      <xdr:row>26</xdr:row>
      <xdr:rowOff>182021</xdr:rowOff>
    </xdr:from>
    <xdr:to>
      <xdr:col>16</xdr:col>
      <xdr:colOff>120834</xdr:colOff>
      <xdr:row>29</xdr:row>
      <xdr:rowOff>111839</xdr:rowOff>
    </xdr:to>
    <xdr:sp macro="" textlink="">
      <xdr:nvSpPr>
        <xdr:cNvPr id="49" name="TextBox 48">
          <a:extLst>
            <a:ext uri="{FF2B5EF4-FFF2-40B4-BE49-F238E27FC236}">
              <a16:creationId xmlns:a16="http://schemas.microsoft.com/office/drawing/2014/main" id="{BA7737FB-D377-444C-9C70-9879D3430C6F}"/>
            </a:ext>
          </a:extLst>
        </xdr:cNvPr>
        <xdr:cNvSpPr txBox="1"/>
      </xdr:nvSpPr>
      <xdr:spPr>
        <a:xfrm>
          <a:off x="9077193" y="5465221"/>
          <a:ext cx="1813241" cy="53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Segoe UI Black" panose="020B0A02040204020203" pitchFamily="34" charset="0"/>
              <a:ea typeface="Segoe UI Black" panose="020B0A02040204020203" pitchFamily="34" charset="0"/>
              <a:cs typeface="Calibri"/>
            </a:rPr>
            <a:t>OUTLET TYPE</a:t>
          </a:r>
        </a:p>
      </xdr:txBody>
    </xdr:sp>
    <xdr:clientData/>
  </xdr:twoCellAnchor>
  <xdr:twoCellAnchor>
    <xdr:from>
      <xdr:col>16</xdr:col>
      <xdr:colOff>150934</xdr:colOff>
      <xdr:row>27</xdr:row>
      <xdr:rowOff>125046</xdr:rowOff>
    </xdr:from>
    <xdr:to>
      <xdr:col>18</xdr:col>
      <xdr:colOff>602780</xdr:colOff>
      <xdr:row>36</xdr:row>
      <xdr:rowOff>144604</xdr:rowOff>
    </xdr:to>
    <xdr:graphicFrame macro="">
      <xdr:nvGraphicFramePr>
        <xdr:cNvPr id="50" name="Chart 49">
          <a:extLst>
            <a:ext uri="{FF2B5EF4-FFF2-40B4-BE49-F238E27FC236}">
              <a16:creationId xmlns:a16="http://schemas.microsoft.com/office/drawing/2014/main" id="{DFEAA1CD-652D-43A7-804A-42C735B88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534864</xdr:colOff>
      <xdr:row>27</xdr:row>
      <xdr:rowOff>125046</xdr:rowOff>
    </xdr:from>
    <xdr:to>
      <xdr:col>21</xdr:col>
      <xdr:colOff>312634</xdr:colOff>
      <xdr:row>36</xdr:row>
      <xdr:rowOff>144604</xdr:rowOff>
    </xdr:to>
    <xdr:graphicFrame macro="">
      <xdr:nvGraphicFramePr>
        <xdr:cNvPr id="53" name="Chart 52">
          <a:extLst>
            <a:ext uri="{FF2B5EF4-FFF2-40B4-BE49-F238E27FC236}">
              <a16:creationId xmlns:a16="http://schemas.microsoft.com/office/drawing/2014/main" id="{BA22E76A-7DA4-4300-A7CB-41DB5FDC7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620746</xdr:colOff>
      <xdr:row>36</xdr:row>
      <xdr:rowOff>2469</xdr:rowOff>
    </xdr:from>
    <xdr:to>
      <xdr:col>15</xdr:col>
      <xdr:colOff>385381</xdr:colOff>
      <xdr:row>37</xdr:row>
      <xdr:rowOff>120869</xdr:rowOff>
    </xdr:to>
    <xdr:sp macro="" textlink="">
      <xdr:nvSpPr>
        <xdr:cNvPr id="54" name="TextBox 53">
          <a:extLst>
            <a:ext uri="{FF2B5EF4-FFF2-40B4-BE49-F238E27FC236}">
              <a16:creationId xmlns:a16="http://schemas.microsoft.com/office/drawing/2014/main" id="{81AAB66B-3A48-4D7D-97A1-6B7CD526F1B3}"/>
            </a:ext>
          </a:extLst>
        </xdr:cNvPr>
        <xdr:cNvSpPr txBox="1"/>
      </xdr:nvSpPr>
      <xdr:spPr>
        <a:xfrm>
          <a:off x="9331194" y="7096952"/>
          <a:ext cx="1104704" cy="31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TCalibri Light (Headings)"/>
              <a:ea typeface="Segoe UI Black" panose="020B0A02040204020203" pitchFamily="34" charset="0"/>
              <a:cs typeface="Calibri"/>
            </a:rPr>
            <a:t>Total</a:t>
          </a:r>
          <a:r>
            <a:rPr lang="en-US" sz="1400" b="1" i="0" u="none" strike="noStrike" baseline="0">
              <a:solidFill>
                <a:srgbClr val="000000"/>
              </a:solidFill>
              <a:latin typeface="TCalibri Light (Headings)"/>
              <a:ea typeface="Segoe UI Black" panose="020B0A02040204020203" pitchFamily="34" charset="0"/>
              <a:cs typeface="Calibri"/>
            </a:rPr>
            <a:t> Sales</a:t>
          </a:r>
          <a:endParaRPr lang="en-US" sz="1400" b="1" i="0" u="none" strike="noStrike">
            <a:solidFill>
              <a:srgbClr val="000000"/>
            </a:solidFill>
            <a:latin typeface="TCalibri Light (Headings)"/>
            <a:ea typeface="Segoe UI Black" panose="020B0A02040204020203" pitchFamily="34" charset="0"/>
            <a:cs typeface="Calibri"/>
          </a:endParaRPr>
        </a:p>
      </xdr:txBody>
    </xdr:sp>
    <xdr:clientData/>
  </xdr:twoCellAnchor>
  <xdr:twoCellAnchor>
    <xdr:from>
      <xdr:col>16</xdr:col>
      <xdr:colOff>431559</xdr:colOff>
      <xdr:row>36</xdr:row>
      <xdr:rowOff>2469</xdr:rowOff>
    </xdr:from>
    <xdr:to>
      <xdr:col>18</xdr:col>
      <xdr:colOff>332827</xdr:colOff>
      <xdr:row>37</xdr:row>
      <xdr:rowOff>120869</xdr:rowOff>
    </xdr:to>
    <xdr:sp macro="" textlink="">
      <xdr:nvSpPr>
        <xdr:cNvPr id="55" name="TextBox 54">
          <a:extLst>
            <a:ext uri="{FF2B5EF4-FFF2-40B4-BE49-F238E27FC236}">
              <a16:creationId xmlns:a16="http://schemas.microsoft.com/office/drawing/2014/main" id="{C0A9855F-B7FF-4C43-97E6-5B873E5370A2}"/>
            </a:ext>
          </a:extLst>
        </xdr:cNvPr>
        <xdr:cNvSpPr txBox="1"/>
      </xdr:nvSpPr>
      <xdr:spPr>
        <a:xfrm>
          <a:off x="11152111" y="7096952"/>
          <a:ext cx="1241337" cy="31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TCalibri Light (Headings)"/>
              <a:ea typeface="Segoe UI Black" panose="020B0A02040204020203" pitchFamily="34" charset="0"/>
              <a:cs typeface="Calibri"/>
            </a:rPr>
            <a:t>Average</a:t>
          </a:r>
          <a:r>
            <a:rPr lang="en-US" sz="1400" b="1" i="0" u="none" strike="noStrike" baseline="0">
              <a:solidFill>
                <a:srgbClr val="000000"/>
              </a:solidFill>
              <a:latin typeface="TCalibri Light (Headings)"/>
              <a:ea typeface="Segoe UI Black" panose="020B0A02040204020203" pitchFamily="34" charset="0"/>
              <a:cs typeface="Calibri"/>
            </a:rPr>
            <a:t> Sales</a:t>
          </a:r>
          <a:endParaRPr lang="en-US" sz="1400" b="1" i="0" u="none" strike="noStrike">
            <a:solidFill>
              <a:srgbClr val="000000"/>
            </a:solidFill>
            <a:latin typeface="TCalibri Light (Headings)"/>
            <a:ea typeface="Segoe UI Black" panose="020B0A02040204020203" pitchFamily="34" charset="0"/>
            <a:cs typeface="Calibri"/>
          </a:endParaRPr>
        </a:p>
      </xdr:txBody>
    </xdr:sp>
    <xdr:clientData/>
  </xdr:twoCellAnchor>
  <xdr:twoCellAnchor>
    <xdr:from>
      <xdr:col>19</xdr:col>
      <xdr:colOff>189822</xdr:colOff>
      <xdr:row>36</xdr:row>
      <xdr:rowOff>2469</xdr:rowOff>
    </xdr:from>
    <xdr:to>
      <xdr:col>21</xdr:col>
      <xdr:colOff>91090</xdr:colOff>
      <xdr:row>37</xdr:row>
      <xdr:rowOff>120869</xdr:rowOff>
    </xdr:to>
    <xdr:sp macro="" textlink="">
      <xdr:nvSpPr>
        <xdr:cNvPr id="56" name="TextBox 55">
          <a:extLst>
            <a:ext uri="{FF2B5EF4-FFF2-40B4-BE49-F238E27FC236}">
              <a16:creationId xmlns:a16="http://schemas.microsoft.com/office/drawing/2014/main" id="{5A4EEAB4-CD3A-4EBE-AA04-1BFAECD23633}"/>
            </a:ext>
          </a:extLst>
        </xdr:cNvPr>
        <xdr:cNvSpPr txBox="1"/>
      </xdr:nvSpPr>
      <xdr:spPr>
        <a:xfrm>
          <a:off x="12920477" y="7096952"/>
          <a:ext cx="1241337" cy="31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TCalibri Light (Headings)"/>
              <a:ea typeface="Segoe UI Black" panose="020B0A02040204020203" pitchFamily="34" charset="0"/>
              <a:cs typeface="Calibri"/>
            </a:rPr>
            <a:t>No. of Items</a:t>
          </a:r>
        </a:p>
      </xdr:txBody>
    </xdr:sp>
    <xdr:clientData/>
  </xdr:twoCellAnchor>
  <xdr:twoCellAnchor editAs="oneCell">
    <xdr:from>
      <xdr:col>1</xdr:col>
      <xdr:colOff>227505</xdr:colOff>
      <xdr:row>14</xdr:row>
      <xdr:rowOff>118138</xdr:rowOff>
    </xdr:from>
    <xdr:to>
      <xdr:col>4</xdr:col>
      <xdr:colOff>42448</xdr:colOff>
      <xdr:row>21</xdr:row>
      <xdr:rowOff>27214</xdr:rowOff>
    </xdr:to>
    <mc:AlternateContent xmlns:mc="http://schemas.openxmlformats.org/markup-compatibility/2006" xmlns:a14="http://schemas.microsoft.com/office/drawing/2010/main">
      <mc:Choice Requires="a14">
        <xdr:graphicFrame macro="">
          <xdr:nvGraphicFramePr>
            <xdr:cNvPr id="57" name="Outlet Location Type">
              <a:extLst>
                <a:ext uri="{FF2B5EF4-FFF2-40B4-BE49-F238E27FC236}">
                  <a16:creationId xmlns:a16="http://schemas.microsoft.com/office/drawing/2014/main" id="{CD66ABDD-B357-42A0-8C92-F7542CFFF02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96829" y="2857219"/>
              <a:ext cx="1822916" cy="127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226436</xdr:colOff>
      <xdr:row>21</xdr:row>
      <xdr:rowOff>105654</xdr:rowOff>
    </xdr:from>
    <xdr:to>
      <xdr:col>4</xdr:col>
      <xdr:colOff>50301</xdr:colOff>
      <xdr:row>34</xdr:row>
      <xdr:rowOff>118673</xdr:rowOff>
    </xdr:to>
    <mc:AlternateContent xmlns:mc="http://schemas.openxmlformats.org/markup-compatibility/2006" xmlns:a14="http://schemas.microsoft.com/office/drawing/2010/main">
      <mc:Choice Requires="a14">
        <xdr:graphicFrame macro="">
          <xdr:nvGraphicFramePr>
            <xdr:cNvPr id="60" name="Item Type">
              <a:extLst>
                <a:ext uri="{FF2B5EF4-FFF2-40B4-BE49-F238E27FC236}">
                  <a16:creationId xmlns:a16="http://schemas.microsoft.com/office/drawing/2014/main" id="{D05FFDFC-0388-4936-948C-E780BE2C804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95760" y="4214276"/>
              <a:ext cx="1831838" cy="2556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406659</xdr:colOff>
      <xdr:row>34</xdr:row>
      <xdr:rowOff>164588</xdr:rowOff>
    </xdr:from>
    <xdr:to>
      <xdr:col>2</xdr:col>
      <xdr:colOff>211860</xdr:colOff>
      <xdr:row>37</xdr:row>
      <xdr:rowOff>41189</xdr:rowOff>
    </xdr:to>
    <xdr:pic>
      <xdr:nvPicPr>
        <xdr:cNvPr id="62" name="Picture 61">
          <a:hlinkClick xmlns:r="http://schemas.openxmlformats.org/officeDocument/2006/relationships" r:id="rId14"/>
          <a:extLst>
            <a:ext uri="{FF2B5EF4-FFF2-40B4-BE49-F238E27FC236}">
              <a16:creationId xmlns:a16="http://schemas.microsoft.com/office/drawing/2014/main" id="{CE6561DF-D5D3-07F5-86BD-9BB2403BE48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75983" y="6816642"/>
          <a:ext cx="474526" cy="463547"/>
        </a:xfrm>
        <a:prstGeom prst="rect">
          <a:avLst/>
        </a:prstGeom>
      </xdr:spPr>
    </xdr:pic>
    <xdr:clientData/>
  </xdr:twoCellAnchor>
  <xdr:twoCellAnchor editAs="oneCell">
    <xdr:from>
      <xdr:col>2</xdr:col>
      <xdr:colOff>659630</xdr:colOff>
      <xdr:row>35</xdr:row>
      <xdr:rowOff>22043</xdr:rowOff>
    </xdr:from>
    <xdr:to>
      <xdr:col>3</xdr:col>
      <xdr:colOff>378639</xdr:colOff>
      <xdr:row>37</xdr:row>
      <xdr:rowOff>10297</xdr:rowOff>
    </xdr:to>
    <xdr:pic>
      <xdr:nvPicPr>
        <xdr:cNvPr id="64" name="Picture 63">
          <a:hlinkClick xmlns:r="http://schemas.openxmlformats.org/officeDocument/2006/relationships" r:id="rId16"/>
          <a:extLst>
            <a:ext uri="{FF2B5EF4-FFF2-40B4-BE49-F238E27FC236}">
              <a16:creationId xmlns:a16="http://schemas.microsoft.com/office/drawing/2014/main" id="{D33E36AF-71D4-2E02-660E-FB25251A872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998279" y="6869746"/>
          <a:ext cx="388333" cy="3795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ash" refreshedDate="45707.709123611108" createdVersion="8" refreshedVersion="8" minRefreshableVersion="3" recordCount="8523" xr:uid="{DF3C1CD7-826C-4173-981F-981CA455BCC2}">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2422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490B9-3626-4764-AE28-79F6D60D376B}"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14">
  <location ref="A29:B4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0"/>
    </i>
    <i>
      <x v="14"/>
    </i>
    <i>
      <x/>
    </i>
    <i>
      <x v="8"/>
    </i>
    <i>
      <x v="3"/>
    </i>
    <i>
      <x v="4"/>
    </i>
    <i>
      <x v="5"/>
    </i>
    <i>
      <x v="9"/>
    </i>
    <i>
      <x v="6"/>
    </i>
    <i>
      <x v="13"/>
    </i>
  </rowItems>
  <colItems count="1">
    <i/>
  </colItems>
  <dataFields count="1">
    <dataField name="Sum of Sales" fld="11" baseField="0" baseItem="0"/>
  </dataFields>
  <formats count="3">
    <format dxfId="2">
      <pivotArea type="all" dataOnly="0" outline="0" fieldPosition="0"/>
    </format>
    <format dxfId="1">
      <pivotArea outline="0" collapsedLevelsAreSubtotals="1" fieldPosition="0"/>
    </format>
    <format dxfId="0">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950F66-D9CA-4173-8FC0-321BA3B39564}"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o of Items" fld="1" subtotal="count" baseField="0" baseItem="1"/>
    <dataField name="Average of Rating" fld="12" subtotal="average" baseField="0" baseItem="3"/>
  </dataFields>
  <formats count="3">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C1CEE-E1A8-4D3B-89CD-FE8DAA2DB38A}"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11">
  <location ref="A19:C23"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3">
    <format dxfId="8">
      <pivotArea type="all" dataOnly="0" outline="0" fieldPosition="0"/>
    </format>
    <format dxfId="7">
      <pivotArea outline="0" collapsedLevelsAreSubtotals="1" fieldPosition="0"/>
    </format>
    <format dxfId="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69E02E-63BE-4F3B-B01B-F83B0DE8EF55}" name="PivotTable3" cacheId="0" applyNumberFormats="0" applyBorderFormats="0" applyFontFormats="0" applyPatternFormats="0" applyAlignmentFormats="0" applyWidthHeightFormats="1" dataCaption="Values" updatedVersion="8" minRefreshableVersion="3" showDrill="0" useAutoFormatting="1" rowGrandTotals="0" itemPrintTitles="1" createdVersion="8" indent="0" showHeaders="0" outline="1" outlineData="1" multipleFieldFilters="0" chartFormat="4">
  <location ref="A13:B15"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3">
    <format dxfId="11">
      <pivotArea type="all" dataOnly="0" outline="0" fieldPosition="0"/>
    </format>
    <format dxfId="10">
      <pivotArea outline="0" collapsedLevelsAreSubtotals="1" fieldPosition="0"/>
    </format>
    <format dxfId="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B0552-9EBD-402C-96DD-271AB9B6628B}"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88:B92" firstHeaderRow="1" firstDataRow="1" firstDataCol="1"/>
  <pivotFields count="13">
    <pivotField showAll="0"/>
    <pivotField showAll="0"/>
    <pivotField showAll="0"/>
    <pivotField showAll="0"/>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
    <format dxfId="1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DF449-E367-40E8-A066-F3A368B013F8}"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121:B125" firstHeaderRow="1" firstDataRow="1" firstDataCol="1"/>
  <pivotFields count="13">
    <pivotField showAll="0"/>
    <pivotField showAll="0"/>
    <pivotField showAll="0"/>
    <pivotField showAll="0"/>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dataFields>
  <formats count="1">
    <format dxfId="13">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A13056-F0CD-4F76-941D-9F9D70EBE94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4:B68" firstHeaderRow="1" firstDataRow="1" firstDataCol="1"/>
  <pivotFields count="13">
    <pivotField showAll="0"/>
    <pivotField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1">
    <format dxfId="14">
      <pivotArea collapsedLevelsAreSubtotals="1" fieldPosition="0">
        <references count="1">
          <reference field="7" count="0"/>
        </references>
      </pivotArea>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8A25CE-9859-4AAC-8049-BA6395C082A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73:B76" firstHeaderRow="1" firstDataRow="1" firstDataCol="1"/>
  <pivotFields count="13">
    <pivotField showAll="0"/>
    <pivotField showAll="0"/>
    <pivotField showAll="0"/>
    <pivotField showAll="0"/>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
    <format dxfId="15">
      <pivotArea collapsedLevelsAreSubtotals="1" fieldPosition="0">
        <references count="1">
          <reference field="6" count="0"/>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144E1F-463E-4C6D-9F91-948BD5B0709F}"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105:B109" firstHeaderRow="1" firstDataRow="1" firstDataCol="1"/>
  <pivotFields count="13">
    <pivotField showAll="0"/>
    <pivotField showAll="0"/>
    <pivotField showAll="0"/>
    <pivotField showAll="0"/>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
    <format dxfId="16">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AFF4E7-6CCD-47BA-8B2A-11B9536E07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B54" firstHeaderRow="1" firstDataRow="1" firstDataCol="1"/>
  <pivotFields count="13">
    <pivotField showAll="0"/>
    <pivotField showAll="0"/>
    <pivotField showAll="0"/>
    <pivotField showAll="0"/>
    <pivotField axis="axisRow" showAll="0" sortType="ascending">
      <items count="10">
        <item x="6"/>
        <item x="0"/>
        <item x="3"/>
        <item x="4"/>
        <item x="2"/>
        <item x="8"/>
        <item x="7"/>
        <item x="5"/>
        <item x="1"/>
        <item t="default"/>
      </items>
    </pivotField>
    <pivotField showAll="0"/>
    <pivotField showAll="0">
      <items count="4">
        <item x="0"/>
        <item h="1" x="2"/>
        <item h="1" x="1"/>
        <item t="default"/>
      </items>
    </pivotField>
    <pivotField showAll="0"/>
    <pivotField showAll="0"/>
    <pivotField showAll="0"/>
    <pivotField showAll="0"/>
    <pivotField dataField="1" showAll="0"/>
    <pivotField showAll="0"/>
  </pivotFields>
  <rowFields count="1">
    <field x="4"/>
  </rowFields>
  <rowItems count="4">
    <i>
      <x v="1"/>
    </i>
    <i>
      <x v="4"/>
    </i>
    <i>
      <x v="6"/>
    </i>
    <i t="grand">
      <x/>
    </i>
  </rowItems>
  <colItems count="1">
    <i/>
  </colItems>
  <dataFields count="1">
    <dataField name="Sum of Sales" fld="11" baseField="0" baseItem="0"/>
  </dataFields>
  <formats count="1">
    <format dxfId="17">
      <pivotArea collapsedLevelsAreSubtotals="1" fieldPosition="0">
        <references count="1">
          <reference field="4" count="0"/>
        </references>
      </pivotArea>
    </format>
  </format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3"/>
          </reference>
        </references>
      </pivotArea>
    </chartFormat>
    <chartFormat chart="4" format="4">
      <pivotArea type="data" outline="0" fieldPosition="0">
        <references count="2">
          <reference field="4294967294" count="1" selected="0">
            <x v="0"/>
          </reference>
          <reference field="4" count="1" selected="0">
            <x v="4"/>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4" format="6">
      <pivotArea type="data" outline="0" fieldPosition="0">
        <references count="2">
          <reference field="4294967294" count="1" selected="0">
            <x v="0"/>
          </reference>
          <reference field="4" count="1" selected="0">
            <x v="6"/>
          </reference>
        </references>
      </pivotArea>
    </chartFormat>
    <chartFormat chart="4" format="7">
      <pivotArea type="data" outline="0" fieldPosition="0">
        <references count="2">
          <reference field="4294967294" count="1" selected="0">
            <x v="0"/>
          </reference>
          <reference field="4" count="1" selected="0">
            <x v="2"/>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7"/>
          </reference>
        </references>
      </pivotArea>
    </chartFormat>
    <chartFormat chart="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1A193AE-5AC9-48FA-AB7C-D1BC46FB51A7}" sourceName="Outlet Size">
  <pivotTables>
    <pivotTable tabId="2" name="PivotTable1"/>
    <pivotTable tabId="2" name="PivotTable3"/>
    <pivotTable tabId="2" name="PivotTable4"/>
    <pivotTable tabId="2" name="PivotTable2"/>
  </pivotTables>
  <data>
    <tabular pivotCacheId="212422758">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90F6428-3003-4A4F-B4D0-9710CE3FE6B8}" sourceName="Outlet Location Type">
  <pivotTables>
    <pivotTable tabId="2" name="PivotTable5"/>
  </pivotTables>
  <data>
    <tabular pivotCacheId="212422758">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A819BBD-92D8-4FCC-8BA1-DA479ADB2D01}" sourceName="Item Type">
  <pivotTables>
    <pivotTable tabId="2" name="PivotTable7"/>
  </pivotTables>
  <data>
    <tabular pivotCacheId="212422758">
      <items count="16">
        <i x="13"/>
        <i x="8"/>
        <i x="12"/>
        <i x="3"/>
        <i x="11" s="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059CFF6-FE12-4E95-8B8F-A2B02718AA5E}"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8DB6633-1C03-4AF5-8FC0-09DEDAD0F48A}" cache="Slicer_Outlet_Size" caption="Outlet Size" style="Blinkit Analysis" rowHeight="260350"/>
  <slicer name="Outlet Location Type" xr10:uid="{53FDBDE2-AF5D-43FF-BB7F-BFEA14C2DE19}" cache="Slicer_Outlet_Location_Type" caption="Outlet Location Type" style="Blinkit Analysis" rowHeight="260350"/>
  <slicer name="Item Type" xr10:uid="{9DE3558A-99BB-46D2-9DCD-80D3B2E87FB7}"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93B883A2-B82F-4594-8EA3-99031F40458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D0A6-F1A0-468B-BE8D-76A0A6A8C49D}">
  <dimension ref="A1:E125"/>
  <sheetViews>
    <sheetView topLeftCell="A64" zoomScale="89" workbookViewId="0">
      <selection activeCell="X24" sqref="X24"/>
    </sheetView>
  </sheetViews>
  <sheetFormatPr defaultRowHeight="15.6" x14ac:dyDescent="0.3"/>
  <cols>
    <col min="1" max="1" width="19.09765625" bestFit="1" customWidth="1"/>
    <col min="2" max="2" width="11.796875" bestFit="1" customWidth="1"/>
    <col min="3" max="3" width="7.59765625" bestFit="1" customWidth="1"/>
    <col min="4" max="4" width="16.19921875" bestFit="1" customWidth="1"/>
  </cols>
  <sheetData>
    <row r="1" spans="1:5" ht="16.2" thickBot="1" x14ac:dyDescent="0.35"/>
    <row r="2" spans="1:5" ht="16.2" thickBot="1" x14ac:dyDescent="0.35">
      <c r="A2" s="30" t="s">
        <v>1618</v>
      </c>
      <c r="B2" s="31"/>
      <c r="C2" s="31"/>
      <c r="D2" s="31"/>
      <c r="E2" s="3"/>
    </row>
    <row r="3" spans="1:5" ht="16.2" thickBot="1" x14ac:dyDescent="0.35">
      <c r="A3" s="11" t="s">
        <v>1612</v>
      </c>
      <c r="B3" s="12" t="s">
        <v>1611</v>
      </c>
      <c r="C3" s="12" t="s">
        <v>1614</v>
      </c>
      <c r="D3" s="13" t="s">
        <v>1615</v>
      </c>
      <c r="E3" s="5"/>
    </row>
    <row r="4" spans="1:5" ht="16.2" thickBot="1" x14ac:dyDescent="0.35">
      <c r="A4" s="11">
        <v>444794.17040000024</v>
      </c>
      <c r="B4" s="12">
        <v>141.69932156737823</v>
      </c>
      <c r="C4" s="12">
        <v>3139</v>
      </c>
      <c r="D4" s="13">
        <v>3.9639375597324582</v>
      </c>
      <c r="E4" s="5"/>
    </row>
    <row r="5" spans="1:5" x14ac:dyDescent="0.3">
      <c r="A5" s="4"/>
      <c r="E5" s="5"/>
    </row>
    <row r="6" spans="1:5" x14ac:dyDescent="0.3">
      <c r="A6" s="4"/>
      <c r="E6" s="5"/>
    </row>
    <row r="7" spans="1:5" x14ac:dyDescent="0.3">
      <c r="A7" s="4"/>
      <c r="E7" s="5"/>
    </row>
    <row r="8" spans="1:5" x14ac:dyDescent="0.3">
      <c r="A8" s="4" t="s">
        <v>1612</v>
      </c>
      <c r="B8" t="s">
        <v>1611</v>
      </c>
      <c r="C8" t="s">
        <v>1616</v>
      </c>
      <c r="D8" t="s">
        <v>1617</v>
      </c>
      <c r="E8" s="5"/>
    </row>
    <row r="9" spans="1:5" ht="16.2" thickBot="1" x14ac:dyDescent="0.35">
      <c r="A9" s="6">
        <f>GETPIVOTDATA("Total Sales",$A$3)</f>
        <v>444794.17040000024</v>
      </c>
      <c r="B9" s="7">
        <f>GETPIVOTDATA("Average Sales",$A$3)</f>
        <v>141.69932156737823</v>
      </c>
      <c r="C9" s="10">
        <f>GETPIVOTDATA("No of Items",$A$3)</f>
        <v>3139</v>
      </c>
      <c r="D9" s="8">
        <f>GETPIVOTDATA("Average of Rating",$A$3)</f>
        <v>3.9639375597324582</v>
      </c>
      <c r="E9" s="9"/>
    </row>
    <row r="12" spans="1:5" ht="16.2" thickBot="1" x14ac:dyDescent="0.35">
      <c r="A12" s="32" t="s">
        <v>1619</v>
      </c>
      <c r="B12" s="32"/>
      <c r="C12" s="32"/>
      <c r="D12" s="32"/>
    </row>
    <row r="13" spans="1:5" ht="16.2" thickBot="1" x14ac:dyDescent="0.35">
      <c r="A13" s="1"/>
      <c r="B13" s="3" t="s">
        <v>1610</v>
      </c>
    </row>
    <row r="14" spans="1:5" x14ac:dyDescent="0.3">
      <c r="A14" s="14" t="s">
        <v>17</v>
      </c>
      <c r="B14" s="16">
        <v>315228.35880000028</v>
      </c>
    </row>
    <row r="15" spans="1:5" ht="16.2" thickBot="1" x14ac:dyDescent="0.35">
      <c r="A15" s="15" t="s">
        <v>10</v>
      </c>
      <c r="B15" s="17">
        <v>129565.8115999999</v>
      </c>
    </row>
    <row r="18" spans="1:4" ht="16.2" thickBot="1" x14ac:dyDescent="0.35">
      <c r="A18" s="32" t="s">
        <v>1620</v>
      </c>
      <c r="B18" s="32"/>
      <c r="C18" s="32"/>
      <c r="D18" s="32"/>
    </row>
    <row r="19" spans="1:4" x14ac:dyDescent="0.3">
      <c r="A19" s="18" t="s">
        <v>1610</v>
      </c>
      <c r="B19" s="2"/>
      <c r="C19" s="3"/>
    </row>
    <row r="20" spans="1:4" ht="16.2" thickBot="1" x14ac:dyDescent="0.35">
      <c r="A20" s="4"/>
      <c r="B20" t="s">
        <v>10</v>
      </c>
      <c r="C20" s="5" t="s">
        <v>17</v>
      </c>
    </row>
    <row r="21" spans="1:4" x14ac:dyDescent="0.3">
      <c r="A21" s="14" t="s">
        <v>14</v>
      </c>
      <c r="B21" s="21">
        <v>73289.095600000044</v>
      </c>
      <c r="C21" s="22">
        <v>132631.85659999997</v>
      </c>
    </row>
    <row r="22" spans="1:4" x14ac:dyDescent="0.3">
      <c r="A22" s="14" t="s">
        <v>34</v>
      </c>
      <c r="B22" s="23">
        <v>51721.007199999993</v>
      </c>
      <c r="C22" s="19">
        <v>178768.87860000005</v>
      </c>
    </row>
    <row r="23" spans="1:4" ht="16.2" thickBot="1" x14ac:dyDescent="0.35">
      <c r="A23" s="15" t="s">
        <v>21</v>
      </c>
      <c r="B23" s="24">
        <v>4555.7088000000003</v>
      </c>
      <c r="C23" s="20">
        <v>3827.6235999999999</v>
      </c>
    </row>
    <row r="27" spans="1:4" ht="16.2" thickBot="1" x14ac:dyDescent="0.35"/>
    <row r="28" spans="1:4" ht="16.2" thickBot="1" x14ac:dyDescent="0.35"/>
    <row r="29" spans="1:4" ht="16.2" thickBot="1" x14ac:dyDescent="0.35">
      <c r="A29" s="1"/>
      <c r="B29" s="3" t="s">
        <v>1610</v>
      </c>
    </row>
    <row r="30" spans="1:4" x14ac:dyDescent="0.3">
      <c r="A30" s="14" t="s">
        <v>153</v>
      </c>
      <c r="B30" s="16">
        <v>3316.039400000001</v>
      </c>
    </row>
    <row r="31" spans="1:4" x14ac:dyDescent="0.3">
      <c r="A31" s="14" t="s">
        <v>74</v>
      </c>
      <c r="B31" s="26">
        <v>4788.541400000001</v>
      </c>
    </row>
    <row r="32" spans="1:4" x14ac:dyDescent="0.3">
      <c r="A32" s="14" t="s">
        <v>159</v>
      </c>
      <c r="B32" s="26">
        <v>7268.7753999999977</v>
      </c>
    </row>
    <row r="33" spans="1:2" x14ac:dyDescent="0.3">
      <c r="A33" s="14" t="s">
        <v>64</v>
      </c>
      <c r="B33" s="26">
        <v>10324.573599999998</v>
      </c>
    </row>
    <row r="34" spans="1:2" x14ac:dyDescent="0.3">
      <c r="A34" s="14" t="s">
        <v>61</v>
      </c>
      <c r="B34" s="26">
        <v>10696.120999999999</v>
      </c>
    </row>
    <row r="35" spans="1:2" x14ac:dyDescent="0.3">
      <c r="A35" s="14" t="s">
        <v>57</v>
      </c>
      <c r="B35" s="26">
        <v>12758.775600000001</v>
      </c>
    </row>
    <row r="36" spans="1:2" x14ac:dyDescent="0.3">
      <c r="A36" s="14" t="s">
        <v>54</v>
      </c>
      <c r="B36" s="26">
        <v>19391.761799999997</v>
      </c>
    </row>
    <row r="37" spans="1:2" x14ac:dyDescent="0.3">
      <c r="A37" s="14" t="s">
        <v>32</v>
      </c>
      <c r="B37" s="26">
        <v>23947.831200000008</v>
      </c>
    </row>
    <row r="38" spans="1:2" x14ac:dyDescent="0.3">
      <c r="A38" s="14" t="s">
        <v>95</v>
      </c>
      <c r="B38" s="26">
        <v>28639.718200000007</v>
      </c>
    </row>
    <row r="39" spans="1:2" x14ac:dyDescent="0.3">
      <c r="A39" s="14" t="s">
        <v>19</v>
      </c>
      <c r="B39" s="26">
        <v>31517.808799999984</v>
      </c>
    </row>
    <row r="40" spans="1:2" x14ac:dyDescent="0.3">
      <c r="A40" s="14" t="s">
        <v>28</v>
      </c>
      <c r="B40" s="26">
        <v>32937.534199999995</v>
      </c>
    </row>
    <row r="41" spans="1:2" x14ac:dyDescent="0.3">
      <c r="A41" s="14" t="s">
        <v>67</v>
      </c>
      <c r="B41" s="26">
        <v>35675.990800000029</v>
      </c>
    </row>
    <row r="42" spans="1:2" x14ac:dyDescent="0.3">
      <c r="A42" s="14" t="s">
        <v>24</v>
      </c>
      <c r="B42" s="26">
        <v>43553.017</v>
      </c>
    </row>
    <row r="43" spans="1:2" x14ac:dyDescent="0.3">
      <c r="A43" s="14" t="s">
        <v>42</v>
      </c>
      <c r="B43" s="26">
        <v>59352.546200000019</v>
      </c>
    </row>
    <row r="44" spans="1:2" x14ac:dyDescent="0.3">
      <c r="A44" s="14" t="s">
        <v>12</v>
      </c>
      <c r="B44" s="26">
        <v>59721.052199999984</v>
      </c>
    </row>
    <row r="45" spans="1:2" ht="16.2" thickBot="1" x14ac:dyDescent="0.35">
      <c r="A45" s="15" t="s">
        <v>48</v>
      </c>
      <c r="B45" s="17">
        <v>60904.083600000042</v>
      </c>
    </row>
    <row r="48" spans="1:2" x14ac:dyDescent="0.3">
      <c r="A48" s="25" t="s">
        <v>1621</v>
      </c>
    </row>
    <row r="50" spans="1:2" x14ac:dyDescent="0.3">
      <c r="A50" s="28" t="s">
        <v>1622</v>
      </c>
      <c r="B50" t="s">
        <v>1610</v>
      </c>
    </row>
    <row r="51" spans="1:2" x14ac:dyDescent="0.3">
      <c r="A51" s="25">
        <v>2012</v>
      </c>
      <c r="B51" s="27">
        <v>130476.85980000001</v>
      </c>
    </row>
    <row r="52" spans="1:2" x14ac:dyDescent="0.3">
      <c r="A52" s="25">
        <v>2016</v>
      </c>
      <c r="B52" s="27">
        <v>132113.36979999999</v>
      </c>
    </row>
    <row r="53" spans="1:2" x14ac:dyDescent="0.3">
      <c r="A53" s="25">
        <v>2018</v>
      </c>
      <c r="B53" s="27">
        <v>73807.582399999956</v>
      </c>
    </row>
    <row r="54" spans="1:2" x14ac:dyDescent="0.3">
      <c r="A54" s="25" t="s">
        <v>1623</v>
      </c>
      <c r="B54">
        <v>336397.81199999992</v>
      </c>
    </row>
    <row r="64" spans="1:2" x14ac:dyDescent="0.3">
      <c r="A64" s="28" t="s">
        <v>1622</v>
      </c>
      <c r="B64" t="s">
        <v>1610</v>
      </c>
    </row>
    <row r="65" spans="1:5" x14ac:dyDescent="0.3">
      <c r="A65" s="25" t="s">
        <v>30</v>
      </c>
      <c r="B65" s="27">
        <v>21092.504599999993</v>
      </c>
    </row>
    <row r="66" spans="1:5" x14ac:dyDescent="0.3">
      <c r="A66" s="25" t="s">
        <v>15</v>
      </c>
      <c r="B66" s="27">
        <v>44507.966199999995</v>
      </c>
    </row>
    <row r="67" spans="1:5" x14ac:dyDescent="0.3">
      <c r="A67" s="25" t="s">
        <v>26</v>
      </c>
      <c r="B67" s="27">
        <v>35675.990800000021</v>
      </c>
    </row>
    <row r="68" spans="1:5" x14ac:dyDescent="0.3">
      <c r="A68" s="25" t="s">
        <v>1623</v>
      </c>
      <c r="B68">
        <v>101276.46160000001</v>
      </c>
    </row>
    <row r="72" spans="1:5" x14ac:dyDescent="0.3">
      <c r="A72" t="s">
        <v>1624</v>
      </c>
    </row>
    <row r="73" spans="1:5" x14ac:dyDescent="0.3">
      <c r="A73" s="28" t="s">
        <v>1622</v>
      </c>
      <c r="B73" t="s">
        <v>1610</v>
      </c>
    </row>
    <row r="74" spans="1:5" x14ac:dyDescent="0.3">
      <c r="A74" s="25" t="s">
        <v>21</v>
      </c>
      <c r="B74" s="27">
        <v>472133.03319999954</v>
      </c>
      <c r="D74" t="str">
        <f t="shared" ref="D74:E76" si="0">A74</f>
        <v>Tier 3</v>
      </c>
      <c r="E74" s="27">
        <f t="shared" si="0"/>
        <v>472133.03319999954</v>
      </c>
    </row>
    <row r="75" spans="1:5" x14ac:dyDescent="0.3">
      <c r="A75" s="25" t="s">
        <v>34</v>
      </c>
      <c r="B75" s="27">
        <v>393150.64759999956</v>
      </c>
      <c r="D75" t="str">
        <f t="shared" si="0"/>
        <v>Tier 2</v>
      </c>
      <c r="E75" s="27">
        <f t="shared" si="0"/>
        <v>393150.64759999956</v>
      </c>
    </row>
    <row r="76" spans="1:5" x14ac:dyDescent="0.3">
      <c r="A76" s="25" t="s">
        <v>14</v>
      </c>
      <c r="B76" s="27">
        <v>336397.81199999945</v>
      </c>
      <c r="D76" t="str">
        <f t="shared" si="0"/>
        <v>Tier 1</v>
      </c>
      <c r="E76" s="27">
        <f t="shared" si="0"/>
        <v>336397.81199999945</v>
      </c>
    </row>
    <row r="88" spans="1:2" x14ac:dyDescent="0.3">
      <c r="A88" s="28" t="s">
        <v>1622</v>
      </c>
      <c r="B88" t="s">
        <v>1610</v>
      </c>
    </row>
    <row r="89" spans="1:2" x14ac:dyDescent="0.3">
      <c r="A89" s="25" t="s">
        <v>40</v>
      </c>
      <c r="B89" s="27">
        <v>151939.149</v>
      </c>
    </row>
    <row r="90" spans="1:2" x14ac:dyDescent="0.3">
      <c r="A90" s="25" t="s">
        <v>16</v>
      </c>
      <c r="B90" s="27">
        <v>787549.89280000131</v>
      </c>
    </row>
    <row r="91" spans="1:2" x14ac:dyDescent="0.3">
      <c r="A91" s="25" t="s">
        <v>22</v>
      </c>
      <c r="B91" s="27">
        <v>131477.77639999994</v>
      </c>
    </row>
    <row r="92" spans="1:2" x14ac:dyDescent="0.3">
      <c r="A92" s="25" t="s">
        <v>46</v>
      </c>
      <c r="B92" s="27">
        <v>130714.67460000006</v>
      </c>
    </row>
    <row r="105" spans="1:2" x14ac:dyDescent="0.3">
      <c r="A105" s="28" t="s">
        <v>1622</v>
      </c>
      <c r="B105" t="s">
        <v>1625</v>
      </c>
    </row>
    <row r="106" spans="1:2" x14ac:dyDescent="0.3">
      <c r="A106" s="25" t="s">
        <v>40</v>
      </c>
      <c r="B106" s="29">
        <v>140.29468975069253</v>
      </c>
    </row>
    <row r="107" spans="1:2" x14ac:dyDescent="0.3">
      <c r="A107" s="25" t="s">
        <v>16</v>
      </c>
      <c r="B107" s="29">
        <v>141.21389506903375</v>
      </c>
    </row>
    <row r="108" spans="1:2" x14ac:dyDescent="0.3">
      <c r="A108" s="25" t="s">
        <v>22</v>
      </c>
      <c r="B108" s="29">
        <v>141.67863836206891</v>
      </c>
    </row>
    <row r="109" spans="1:2" x14ac:dyDescent="0.3">
      <c r="A109" s="25" t="s">
        <v>46</v>
      </c>
      <c r="B109" s="29">
        <v>139.80179101604284</v>
      </c>
    </row>
    <row r="121" spans="1:2" x14ac:dyDescent="0.3">
      <c r="A121" s="28" t="s">
        <v>1622</v>
      </c>
      <c r="B121" t="s">
        <v>1626</v>
      </c>
    </row>
    <row r="122" spans="1:2" x14ac:dyDescent="0.3">
      <c r="A122" s="25" t="s">
        <v>40</v>
      </c>
      <c r="B122" s="29">
        <v>1083</v>
      </c>
    </row>
    <row r="123" spans="1:2" x14ac:dyDescent="0.3">
      <c r="A123" s="25" t="s">
        <v>16</v>
      </c>
      <c r="B123" s="29">
        <v>5577</v>
      </c>
    </row>
    <row r="124" spans="1:2" x14ac:dyDescent="0.3">
      <c r="A124" s="25" t="s">
        <v>22</v>
      </c>
      <c r="B124" s="29">
        <v>928</v>
      </c>
    </row>
    <row r="125" spans="1:2" x14ac:dyDescent="0.3">
      <c r="A125" s="25" t="s">
        <v>46</v>
      </c>
      <c r="B125" s="29">
        <v>935</v>
      </c>
    </row>
  </sheetData>
  <mergeCells count="3">
    <mergeCell ref="A2:D2"/>
    <mergeCell ref="A12:D12"/>
    <mergeCell ref="A18:D1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09AD7-ADCC-4689-B2CC-1A156F2B11C2}">
  <sheetPr>
    <tabColor rgb="FFFFFF00"/>
  </sheetPr>
  <dimension ref="Z38"/>
  <sheetViews>
    <sheetView showGridLines="0" tabSelected="1" zoomScale="74" workbookViewId="0">
      <selection activeCell="Y14" sqref="Y14"/>
    </sheetView>
  </sheetViews>
  <sheetFormatPr defaultRowHeight="15.6" x14ac:dyDescent="0.3"/>
  <sheetData>
    <row r="38" spans="26:26" x14ac:dyDescent="0.3">
      <c r="Z38" t="s">
        <v>1627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Sachin Kumar</cp:lastModifiedBy>
  <dcterms:created xsi:type="dcterms:W3CDTF">2024-06-23T13:11:17Z</dcterms:created>
  <dcterms:modified xsi:type="dcterms:W3CDTF">2025-06-22T07:25:48Z</dcterms:modified>
</cp:coreProperties>
</file>